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DELL\Downloads\"/>
    </mc:Choice>
  </mc:AlternateContent>
  <xr:revisionPtr revIDLastSave="0" documentId="8_{34B7F5F7-FD25-4EAA-822C-577D2FAF1989}" xr6:coauthVersionLast="47" xr6:coauthVersionMax="47" xr10:uidLastSave="{00000000-0000-0000-0000-000000000000}"/>
  <bookViews>
    <workbookView xWindow="-108" yWindow="-108" windowWidth="23256" windowHeight="12456" tabRatio="597" activeTab="4" xr2:uid="{B711E391-09F1-479D-93C0-1901FDA9C0F4}"/>
  </bookViews>
  <sheets>
    <sheet name="Breaktime" sheetId="1" r:id="rId1"/>
    <sheet name="Workefficiency" sheetId="2" r:id="rId2"/>
    <sheet name="Overallperformance " sheetId="3" r:id="rId3"/>
    <sheet name="Summary" sheetId="4" r:id="rId4"/>
    <sheet name="DASHBOARD" sheetId="7" r:id="rId5"/>
    <sheet name="Sheet1" sheetId="16" r:id="rId6"/>
  </sheets>
  <definedNames>
    <definedName name="Bdata">Breaktime!$1:$1048576</definedName>
    <definedName name="Edata">Workefficiency!$1:$1048576</definedName>
    <definedName name="Odata">'Overallperformance '!$1:$1048576</definedName>
    <definedName name="Slicer_Active_With_Cust.1">#N/A</definedName>
    <definedName name="Slicer_Attended_Calls1">#N/A</definedName>
    <definedName name="Slicer_CITY">#N/A</definedName>
    <definedName name="Slicer_EMP_Name1">#N/A</definedName>
    <definedName name="Slicer_Total_Break_Taken">#N/A</definedName>
    <definedName name="Slicer_Work_Efficiency1">#N/A</definedName>
  </definedNames>
  <calcPr calcId="191029" iterateCount="1000"/>
  <pivotCaches>
    <pivotCache cacheId="0" r:id="rId7"/>
    <pivotCache cacheId="64"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6" i="7" l="1"/>
  <c r="A38" i="7"/>
  <c r="G46" i="7"/>
  <c r="G38" i="7"/>
  <c r="D38" i="7"/>
  <c r="A46" i="7"/>
  <c r="I3" i="4" a="1"/>
  <c r="I3" i="4" s="1"/>
  <c r="I4" i="4" a="1"/>
  <c r="I4" i="4" s="1"/>
  <c r="I5" i="4" a="1"/>
  <c r="I5" i="4"/>
  <c r="I6" i="4" a="1"/>
  <c r="I6" i="4" s="1"/>
  <c r="I7" i="4" a="1"/>
  <c r="I7" i="4"/>
  <c r="I8" i="4" a="1"/>
  <c r="I8" i="4"/>
  <c r="I9" i="4" a="1"/>
  <c r="I9" i="4"/>
  <c r="I10" i="4" a="1"/>
  <c r="I10" i="4" s="1"/>
  <c r="I11" i="4" a="1"/>
  <c r="I11" i="4" s="1"/>
  <c r="I12" i="4" a="1"/>
  <c r="I12" i="4" s="1"/>
  <c r="I13" i="4" a="1"/>
  <c r="I13" i="4"/>
  <c r="I14" i="4" a="1"/>
  <c r="I14" i="4"/>
  <c r="I15" i="4" a="1"/>
  <c r="I15" i="4"/>
  <c r="I16" i="4" a="1"/>
  <c r="I16" i="4"/>
  <c r="I17" i="4" a="1"/>
  <c r="I17" i="4"/>
  <c r="I18" i="4" a="1"/>
  <c r="I18" i="4" s="1"/>
  <c r="I19" i="4" a="1"/>
  <c r="I19" i="4" s="1"/>
  <c r="I20" i="4" a="1"/>
  <c r="I20" i="4" s="1"/>
  <c r="I21" i="4" a="1"/>
  <c r="I21" i="4"/>
  <c r="I22" i="4" a="1"/>
  <c r="I22" i="4"/>
  <c r="I23" i="4" a="1"/>
  <c r="I23" i="4"/>
  <c r="I24" i="4" a="1"/>
  <c r="I24" i="4" s="1"/>
  <c r="I25" i="4" a="1"/>
  <c r="I25" i="4"/>
  <c r="I26" i="4" a="1"/>
  <c r="I26" i="4" s="1"/>
  <c r="I27" i="4" a="1"/>
  <c r="I27" i="4" s="1"/>
  <c r="I28" i="4" a="1"/>
  <c r="I28" i="4" s="1"/>
  <c r="I29" i="4" a="1"/>
  <c r="I29" i="4"/>
  <c r="I30" i="4" a="1"/>
  <c r="I30" i="4"/>
  <c r="I31" i="4" a="1"/>
  <c r="I31" i="4"/>
  <c r="I32" i="4" a="1"/>
  <c r="I32" i="4"/>
  <c r="I33" i="4" a="1"/>
  <c r="I33" i="4"/>
  <c r="I34" i="4" a="1"/>
  <c r="I34" i="4" s="1"/>
  <c r="I35" i="4" a="1"/>
  <c r="I35" i="4" s="1"/>
  <c r="I36" i="4" a="1"/>
  <c r="I36" i="4" s="1"/>
  <c r="I37" i="4" a="1"/>
  <c r="I37" i="4"/>
  <c r="I38" i="4" a="1"/>
  <c r="I38" i="4"/>
  <c r="I39" i="4" a="1"/>
  <c r="I39" i="4"/>
  <c r="I40" i="4" a="1"/>
  <c r="I40" i="4"/>
  <c r="I41" i="4" a="1"/>
  <c r="I41" i="4"/>
  <c r="I42" i="4" a="1"/>
  <c r="I42" i="4" s="1"/>
  <c r="I43" i="4" a="1"/>
  <c r="I43" i="4" s="1"/>
  <c r="I44" i="4" a="1"/>
  <c r="I44" i="4" s="1"/>
  <c r="I45" i="4" a="1"/>
  <c r="I45" i="4"/>
  <c r="I46" i="4" a="1"/>
  <c r="I46" i="4"/>
  <c r="I47" i="4" a="1"/>
  <c r="I47" i="4"/>
  <c r="I48" i="4" a="1"/>
  <c r="I48" i="4"/>
  <c r="I49" i="4" a="1"/>
  <c r="I49" i="4"/>
  <c r="I50" i="4" a="1"/>
  <c r="I50" i="4" s="1"/>
  <c r="I51" i="4" a="1"/>
  <c r="I51" i="4" s="1"/>
  <c r="I52" i="4" a="1"/>
  <c r="I52" i="4" s="1"/>
  <c r="I53" i="4" a="1"/>
  <c r="I53" i="4"/>
  <c r="I54" i="4" a="1"/>
  <c r="I54" i="4"/>
  <c r="I55" i="4" a="1"/>
  <c r="I55" i="4"/>
  <c r="I56" i="4" a="1"/>
  <c r="I56" i="4"/>
  <c r="I57" i="4" a="1"/>
  <c r="I57" i="4"/>
  <c r="I58" i="4" a="1"/>
  <c r="I58" i="4" s="1"/>
  <c r="I59" i="4" a="1"/>
  <c r="I59" i="4" s="1"/>
  <c r="I60" i="4" a="1"/>
  <c r="I60" i="4" s="1"/>
  <c r="I61" i="4" a="1"/>
  <c r="I61" i="4"/>
  <c r="I62" i="4" a="1"/>
  <c r="I62" i="4"/>
  <c r="I63" i="4" a="1"/>
  <c r="I63" i="4"/>
  <c r="I64" i="4" a="1"/>
  <c r="I64" i="4"/>
  <c r="I65" i="4" a="1"/>
  <c r="I65" i="4"/>
  <c r="I66" i="4" a="1"/>
  <c r="I66" i="4" s="1"/>
  <c r="I67" i="4" a="1"/>
  <c r="I67" i="4" s="1"/>
  <c r="I68" i="4" a="1"/>
  <c r="I68" i="4" s="1"/>
  <c r="I69" i="4" a="1"/>
  <c r="I69" i="4"/>
  <c r="I70" i="4" a="1"/>
  <c r="I70" i="4"/>
  <c r="I71" i="4" a="1"/>
  <c r="I71" i="4"/>
  <c r="I72" i="4" a="1"/>
  <c r="I72" i="4"/>
  <c r="I73" i="4" a="1"/>
  <c r="I73" i="4"/>
  <c r="I74" i="4" a="1"/>
  <c r="I74" i="4" s="1"/>
  <c r="I75" i="4" a="1"/>
  <c r="I75" i="4" s="1"/>
  <c r="I76" i="4" a="1"/>
  <c r="I76" i="4" s="1"/>
  <c r="I77" i="4" a="1"/>
  <c r="I77" i="4"/>
  <c r="I78" i="4" a="1"/>
  <c r="I78" i="4"/>
  <c r="I79" i="4" a="1"/>
  <c r="I79" i="4"/>
  <c r="I80" i="4" a="1"/>
  <c r="I80" i="4"/>
  <c r="I81" i="4" a="1"/>
  <c r="I81" i="4"/>
  <c r="I82" i="4" a="1"/>
  <c r="I82" i="4" s="1"/>
  <c r="I83" i="4" a="1"/>
  <c r="I83" i="4" s="1"/>
  <c r="I84" i="4" a="1"/>
  <c r="I84" i="4" s="1"/>
  <c r="I85" i="4" a="1"/>
  <c r="I85" i="4"/>
  <c r="I86" i="4" a="1"/>
  <c r="I86" i="4"/>
  <c r="I87" i="4" a="1"/>
  <c r="I87" i="4"/>
  <c r="I88" i="4" a="1"/>
  <c r="I88" i="4"/>
  <c r="I89" i="4" a="1"/>
  <c r="I89" i="4"/>
  <c r="I90" i="4" a="1"/>
  <c r="I90" i="4" s="1"/>
  <c r="I91" i="4" a="1"/>
  <c r="I91" i="4" s="1"/>
  <c r="I92" i="4" a="1"/>
  <c r="I92" i="4" s="1"/>
  <c r="I93" i="4" a="1"/>
  <c r="I93" i="4"/>
  <c r="I94" i="4" a="1"/>
  <c r="I94" i="4"/>
  <c r="I95" i="4" a="1"/>
  <c r="I95" i="4"/>
  <c r="I96" i="4" a="1"/>
  <c r="I96" i="4"/>
  <c r="I97" i="4" a="1"/>
  <c r="I97" i="4"/>
  <c r="I98" i="4" a="1"/>
  <c r="I98" i="4" s="1"/>
  <c r="I99" i="4" a="1"/>
  <c r="I99" i="4" s="1"/>
  <c r="I100" i="4" a="1"/>
  <c r="I100" i="4" s="1"/>
  <c r="I101" i="4" a="1"/>
  <c r="I101" i="4"/>
  <c r="I102" i="4" a="1"/>
  <c r="I102" i="4"/>
  <c r="I103" i="4" a="1"/>
  <c r="I103" i="4"/>
  <c r="I104" i="4" a="1"/>
  <c r="I104" i="4"/>
  <c r="I105" i="4" a="1"/>
  <c r="I105" i="4"/>
  <c r="I106" i="4" a="1"/>
  <c r="I106" i="4" s="1"/>
  <c r="I107" i="4" a="1"/>
  <c r="I107" i="4" s="1"/>
  <c r="I108" i="4" a="1"/>
  <c r="I108" i="4" s="1"/>
  <c r="I109" i="4" a="1"/>
  <c r="I109" i="4"/>
  <c r="I110" i="4" a="1"/>
  <c r="I110" i="4"/>
  <c r="I111" i="4" a="1"/>
  <c r="I111" i="4"/>
  <c r="I112" i="4" a="1"/>
  <c r="I112" i="4"/>
  <c r="I113" i="4" a="1"/>
  <c r="I113" i="4"/>
  <c r="I114" i="4" a="1"/>
  <c r="I114" i="4" s="1"/>
  <c r="I115" i="4" a="1"/>
  <c r="I115" i="4" s="1"/>
  <c r="I116" i="4" a="1"/>
  <c r="I116" i="4" s="1"/>
  <c r="I117" i="4" a="1"/>
  <c r="I117" i="4"/>
  <c r="I118" i="4" a="1"/>
  <c r="I118" i="4"/>
  <c r="I119" i="4" a="1"/>
  <c r="I119" i="4"/>
  <c r="I120" i="4" a="1"/>
  <c r="I120" i="4"/>
  <c r="I121" i="4" a="1"/>
  <c r="I121" i="4"/>
  <c r="I122" i="4" a="1"/>
  <c r="I122" i="4" s="1"/>
  <c r="I123" i="4" a="1"/>
  <c r="I123" i="4" s="1"/>
  <c r="I124" i="4" a="1"/>
  <c r="I124" i="4" s="1"/>
  <c r="I125" i="4" a="1"/>
  <c r="I125" i="4"/>
  <c r="I126" i="4" a="1"/>
  <c r="I126" i="4"/>
  <c r="I127" i="4" a="1"/>
  <c r="I127" i="4"/>
  <c r="I128" i="4" a="1"/>
  <c r="I128" i="4"/>
  <c r="I129" i="4" a="1"/>
  <c r="I129" i="4"/>
  <c r="I130" i="4" a="1"/>
  <c r="I130" i="4" s="1"/>
  <c r="I131" i="4" a="1"/>
  <c r="I131" i="4" s="1"/>
  <c r="I132" i="4" a="1"/>
  <c r="I132" i="4" s="1"/>
  <c r="I133" i="4" a="1"/>
  <c r="I133" i="4"/>
  <c r="I134" i="4" a="1"/>
  <c r="I134" i="4"/>
  <c r="I135" i="4" a="1"/>
  <c r="I135" i="4"/>
  <c r="I136" i="4" a="1"/>
  <c r="I136" i="4"/>
  <c r="I137" i="4" a="1"/>
  <c r="I137" i="4"/>
  <c r="I138" i="4" a="1"/>
  <c r="I138" i="4" s="1"/>
  <c r="I139" i="4" a="1"/>
  <c r="I139" i="4" s="1"/>
  <c r="I140" i="4" a="1"/>
  <c r="I140" i="4" s="1"/>
  <c r="I141" i="4" a="1"/>
  <c r="I141" i="4"/>
  <c r="I142" i="4" a="1"/>
  <c r="I142" i="4"/>
  <c r="I143" i="4" a="1"/>
  <c r="I143" i="4"/>
  <c r="I144" i="4" a="1"/>
  <c r="I144" i="4"/>
  <c r="I145" i="4" a="1"/>
  <c r="I145" i="4"/>
  <c r="I146" i="4" a="1"/>
  <c r="I146" i="4" s="1"/>
  <c r="I147" i="4" a="1"/>
  <c r="I147" i="4" s="1"/>
  <c r="I148" i="4" a="1"/>
  <c r="I148" i="4" s="1"/>
  <c r="I149" i="4" a="1"/>
  <c r="I149" i="4"/>
  <c r="I150" i="4" a="1"/>
  <c r="I150" i="4"/>
  <c r="I2" i="4" a="1"/>
  <c r="I2" i="4" s="1"/>
  <c r="I6" i="16"/>
  <c r="I7"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5" i="16"/>
  <c r="AG12" i="7"/>
  <c r="AG13" i="7"/>
  <c r="AG14" i="7"/>
  <c r="AG15" i="7"/>
  <c r="AG16" i="7"/>
  <c r="AG17" i="7"/>
  <c r="AG18" i="7"/>
  <c r="AG19" i="7"/>
  <c r="AG20" i="7"/>
  <c r="AG21" i="7"/>
  <c r="AG22" i="7"/>
  <c r="AG23" i="7"/>
  <c r="AG24" i="7"/>
  <c r="AG25" i="7"/>
  <c r="AG26" i="7"/>
  <c r="AG27" i="7"/>
  <c r="AG28" i="7"/>
  <c r="AG29" i="7"/>
  <c r="AG30" i="7"/>
  <c r="AG31" i="7"/>
  <c r="AG32" i="7"/>
  <c r="AG33" i="7"/>
  <c r="AG34" i="7"/>
  <c r="AG35" i="7"/>
  <c r="AG36" i="7"/>
  <c r="AG37" i="7"/>
  <c r="AG38" i="7"/>
  <c r="AG39" i="7"/>
  <c r="AG40" i="7"/>
  <c r="AG41" i="7"/>
  <c r="AG42" i="7"/>
  <c r="AG43" i="7"/>
  <c r="AG44" i="7"/>
  <c r="AG45" i="7"/>
  <c r="AG46" i="7"/>
  <c r="AG47" i="7"/>
  <c r="AG48" i="7"/>
  <c r="AG49" i="7"/>
  <c r="AG50" i="7"/>
  <c r="AG51" i="7"/>
  <c r="AG52" i="7"/>
  <c r="AG53" i="7"/>
  <c r="AG54" i="7"/>
  <c r="AG55" i="7"/>
  <c r="AG56" i="7"/>
  <c r="AG57" i="7"/>
  <c r="AG58" i="7"/>
  <c r="AG59" i="7"/>
  <c r="AG60" i="7"/>
  <c r="AG61" i="7"/>
  <c r="AG62" i="7"/>
  <c r="AG63" i="7"/>
  <c r="AG64" i="7"/>
  <c r="AG65" i="7"/>
  <c r="AG66" i="7"/>
  <c r="AG67" i="7"/>
  <c r="AG68" i="7"/>
  <c r="AG69" i="7"/>
  <c r="AG70" i="7"/>
  <c r="AG71" i="7"/>
  <c r="AG72" i="7"/>
  <c r="AG73" i="7"/>
  <c r="AG74" i="7"/>
  <c r="AG75" i="7"/>
  <c r="AG76" i="7"/>
  <c r="AG77" i="7"/>
  <c r="AG78" i="7"/>
  <c r="AG79" i="7"/>
  <c r="AG80" i="7"/>
  <c r="AG81" i="7"/>
  <c r="AG82" i="7"/>
  <c r="AG83" i="7"/>
  <c r="AG84" i="7"/>
  <c r="AG85" i="7"/>
  <c r="AG86" i="7"/>
  <c r="AG87" i="7"/>
  <c r="AG88" i="7"/>
  <c r="AG89" i="7"/>
  <c r="AG90" i="7"/>
  <c r="AG91" i="7"/>
  <c r="AG92" i="7"/>
  <c r="AG93" i="7"/>
  <c r="AG94" i="7"/>
  <c r="AG95" i="7"/>
  <c r="AG96" i="7"/>
  <c r="AG97" i="7"/>
  <c r="AG98" i="7"/>
  <c r="AG99" i="7"/>
  <c r="AG100" i="7"/>
  <c r="AG101" i="7"/>
  <c r="AG102" i="7"/>
  <c r="AG103" i="7"/>
  <c r="AG104" i="7"/>
  <c r="AG105" i="7"/>
  <c r="AG106" i="7"/>
  <c r="AG107" i="7"/>
  <c r="AG108" i="7"/>
  <c r="AG109" i="7"/>
  <c r="AG110" i="7"/>
  <c r="AG111" i="7"/>
  <c r="AG112" i="7"/>
  <c r="AG113" i="7"/>
  <c r="AG114" i="7"/>
  <c r="AG115" i="7"/>
  <c r="AG116" i="7"/>
  <c r="AG117" i="7"/>
  <c r="AG118" i="7"/>
  <c r="AG119" i="7"/>
  <c r="AG120" i="7"/>
  <c r="AG121" i="7"/>
  <c r="AG122" i="7"/>
  <c r="AG123" i="7"/>
  <c r="AG124" i="7"/>
  <c r="AG125" i="7"/>
  <c r="AG126" i="7"/>
  <c r="AG127" i="7"/>
  <c r="AG128" i="7"/>
  <c r="AG129" i="7"/>
  <c r="AG130" i="7"/>
  <c r="AG131" i="7"/>
  <c r="AG132" i="7"/>
  <c r="AG133" i="7"/>
  <c r="AG134" i="7"/>
  <c r="AG135" i="7"/>
  <c r="AG136" i="7"/>
  <c r="AG137" i="7"/>
  <c r="AG138" i="7"/>
  <c r="AG139" i="7"/>
  <c r="AG140" i="7"/>
  <c r="AG141" i="7"/>
  <c r="AG142" i="7"/>
  <c r="AG143" i="7"/>
  <c r="AG144" i="7"/>
  <c r="AG145" i="7"/>
  <c r="AG146" i="7"/>
  <c r="AG147" i="7"/>
  <c r="AG148" i="7"/>
  <c r="AG149" i="7"/>
  <c r="AG150" i="7"/>
  <c r="AG151" i="7"/>
  <c r="AG11" i="7"/>
  <c r="K6" i="16"/>
  <c r="K7" i="16"/>
  <c r="K11" i="16"/>
  <c r="K10" i="16"/>
  <c r="K8" i="16"/>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2" i="4"/>
  <c r="G2" i="4"/>
  <c r="B2" i="4"/>
  <c r="A2" i="4"/>
  <c r="F145" i="4"/>
  <c r="D2" i="4"/>
  <c r="C2" i="4"/>
  <c r="A17" i="4"/>
  <c r="A16" i="4"/>
  <c r="G16" i="4" s="1"/>
  <c r="A5" i="4"/>
  <c r="D5" i="4" s="1"/>
  <c r="G3" i="4"/>
  <c r="G4" i="4"/>
  <c r="G6" i="4"/>
  <c r="G7" i="4"/>
  <c r="G8" i="4"/>
  <c r="G9" i="4"/>
  <c r="G10" i="4"/>
  <c r="G11" i="4"/>
  <c r="G12" i="4"/>
  <c r="G13" i="4"/>
  <c r="G14" i="4"/>
  <c r="G15"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F3" i="4"/>
  <c r="F4" i="4"/>
  <c r="F6" i="4"/>
  <c r="F7" i="4"/>
  <c r="F8" i="4"/>
  <c r="F9" i="4"/>
  <c r="F10" i="4"/>
  <c r="F11" i="4"/>
  <c r="F12" i="4"/>
  <c r="F13" i="4"/>
  <c r="F14" i="4"/>
  <c r="F15"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6" i="4"/>
  <c r="F147" i="4"/>
  <c r="F148" i="4"/>
  <c r="F149" i="4"/>
  <c r="F150" i="4"/>
  <c r="F2" i="4"/>
  <c r="D3" i="4"/>
  <c r="D4"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6" i="4"/>
  <c r="D97" i="4"/>
  <c r="D98" i="4"/>
  <c r="D99" i="4"/>
  <c r="D100" i="4"/>
  <c r="D101" i="4"/>
  <c r="D102" i="4"/>
  <c r="D103" i="4"/>
  <c r="D104" i="4"/>
  <c r="D105" i="4"/>
  <c r="D106"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C3" i="4"/>
  <c r="C4" i="4"/>
  <c r="C6" i="4"/>
  <c r="C7" i="4"/>
  <c r="C8" i="4"/>
  <c r="C9" i="4"/>
  <c r="C10" i="4"/>
  <c r="C11" i="4"/>
  <c r="C12" i="4"/>
  <c r="C13" i="4"/>
  <c r="C14" i="4"/>
  <c r="C15"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B3" i="4"/>
  <c r="B4"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A3" i="4"/>
  <c r="A4" i="4"/>
  <c r="A6" i="4"/>
  <c r="A7" i="4"/>
  <c r="A8" i="4"/>
  <c r="A9" i="4"/>
  <c r="A10" i="4"/>
  <c r="A11" i="4"/>
  <c r="A12" i="4"/>
  <c r="A13" i="4"/>
  <c r="A14" i="4"/>
  <c r="A15"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J12" i="16" l="1"/>
  <c r="C16" i="4"/>
  <c r="F16" i="4"/>
  <c r="F5" i="4"/>
  <c r="B5" i="4"/>
  <c r="C5" i="4"/>
  <c r="G5"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<sst xmlns="http://schemas.openxmlformats.org/spreadsheetml/2006/main" count="3082" uniqueCount="1188">
  <si>
    <t>Employee</t>
  </si>
  <si>
    <t>Lunch</t>
  </si>
  <si>
    <t>Normal Break</t>
  </si>
  <si>
    <t>Feedback</t>
  </si>
  <si>
    <t>Training</t>
  </si>
  <si>
    <t>Meeting</t>
  </si>
  <si>
    <t>Unwanted Break</t>
  </si>
  <si>
    <t>Other Work</t>
  </si>
  <si>
    <t>Total Break Taken</t>
  </si>
  <si>
    <t>Mum_Abdul Hamid (1008512)</t>
  </si>
  <si>
    <t>00:36:49</t>
  </si>
  <si>
    <t>00:30:24</t>
  </si>
  <si>
    <t>00:00:00</t>
  </si>
  <si>
    <t>01:08:42</t>
  </si>
  <si>
    <t>Mum_Afzal Husain (1008513)</t>
  </si>
  <si>
    <t>00:39:56</t>
  </si>
  <si>
    <t>00:29:55</t>
  </si>
  <si>
    <t>01:09:59</t>
  </si>
  <si>
    <t>Mum_Anamika Gupta (1008514)</t>
  </si>
  <si>
    <t>00:39:49</t>
  </si>
  <si>
    <t>00:29:49</t>
  </si>
  <si>
    <t>00:04:09</t>
  </si>
  <si>
    <t>01:13:54</t>
  </si>
  <si>
    <t>Mum_Anikuttan (1008515)</t>
  </si>
  <si>
    <t>00:39:17</t>
  </si>
  <si>
    <t>00:22:20</t>
  </si>
  <si>
    <t>01:10:58</t>
  </si>
  <si>
    <t>02:19:02</t>
  </si>
  <si>
    <t>Mum_Anil Kumar (1008516)</t>
  </si>
  <si>
    <t>00:29:44</t>
  </si>
  <si>
    <t>00:29:31</t>
  </si>
  <si>
    <t>02:05:20</t>
  </si>
  <si>
    <t>03:04:58</t>
  </si>
  <si>
    <t>Mum_Anita Dixit (1008517)</t>
  </si>
  <si>
    <t>00:14:56</t>
  </si>
  <si>
    <t>00:10:12</t>
  </si>
  <si>
    <t>00:27:07</t>
  </si>
  <si>
    <t>Mum_Anita Ghore (1008518)</t>
  </si>
  <si>
    <t>00:39:59</t>
  </si>
  <si>
    <t>00:29:58</t>
  </si>
  <si>
    <t>01:31:35</t>
  </si>
  <si>
    <t>02:41:42</t>
  </si>
  <si>
    <t>Mum_Anjali Deoram (1008519)</t>
  </si>
  <si>
    <t>00:40:23</t>
  </si>
  <si>
    <t>00:29:26</t>
  </si>
  <si>
    <t>01:13:10</t>
  </si>
  <si>
    <t>Mum_Anjali Sahay (1008520)</t>
  </si>
  <si>
    <t>00:39:55</t>
  </si>
  <si>
    <t>00:24:49</t>
  </si>
  <si>
    <t>01:06:39</t>
  </si>
  <si>
    <t>Mum_Annu Latika (1008521)</t>
  </si>
  <si>
    <t>00:39:51</t>
  </si>
  <si>
    <t>00:29:59</t>
  </si>
  <si>
    <t>01:09:57</t>
  </si>
  <si>
    <t>Mum_Anoop Narayan (1008522)</t>
  </si>
  <si>
    <t>00:39:41</t>
  </si>
  <si>
    <t>00:29:25</t>
  </si>
  <si>
    <t>01:09:15</t>
  </si>
  <si>
    <t>Mum_Anoop Raj (1008523)</t>
  </si>
  <si>
    <t>00:39:05</t>
  </si>
  <si>
    <t>01:05:04</t>
  </si>
  <si>
    <t>00:12:32</t>
  </si>
  <si>
    <t>03:01:18</t>
  </si>
  <si>
    <t>Mum_Anubhuti Gupta (1008524)</t>
  </si>
  <si>
    <t>00:39:06</t>
  </si>
  <si>
    <t>00:25:25</t>
  </si>
  <si>
    <t>01:01:32</t>
  </si>
  <si>
    <t>02:06:41</t>
  </si>
  <si>
    <t>Mum_Arun Kumar (1008525)</t>
  </si>
  <si>
    <t>00:43:00</t>
  </si>
  <si>
    <t>00:27:13</t>
  </si>
  <si>
    <t>01:10:34</t>
  </si>
  <si>
    <t>Mum_Ashish Kumar (1008526)</t>
  </si>
  <si>
    <t>00:37:37</t>
  </si>
  <si>
    <t>00:08:43</t>
  </si>
  <si>
    <t>01:16:59</t>
  </si>
  <si>
    <t>Mum_Ashok Kumar (1008527)</t>
  </si>
  <si>
    <t>00:42:06</t>
  </si>
  <si>
    <t>00:15:56</t>
  </si>
  <si>
    <t>01:25:31</t>
  </si>
  <si>
    <t>02:24:20</t>
  </si>
  <si>
    <t>Hyd_Ashok Kumar (1008528)</t>
  </si>
  <si>
    <t>00:39:10</t>
  </si>
  <si>
    <t>00:13:03</t>
  </si>
  <si>
    <t>00:56:29</t>
  </si>
  <si>
    <t>Hyd_Ashok Kumar (1008529)</t>
  </si>
  <si>
    <t>00:39:57</t>
  </si>
  <si>
    <t>01:10:07</t>
  </si>
  <si>
    <t>Hyd_Ashok Kumar (1008530)</t>
  </si>
  <si>
    <t>00:39:11</t>
  </si>
  <si>
    <t>00:27:21</t>
  </si>
  <si>
    <t>00:59:58</t>
  </si>
  <si>
    <t>00:31:07</t>
  </si>
  <si>
    <t>02:40:10</t>
  </si>
  <si>
    <t>Hyd_Ashok Mahto (1008531)</t>
  </si>
  <si>
    <t>00:40:20</t>
  </si>
  <si>
    <t>00:30:39</t>
  </si>
  <si>
    <t>00:01:30</t>
  </si>
  <si>
    <t>01:14:30</t>
  </si>
  <si>
    <t>Hyd_Atul Kumar (1008532)</t>
  </si>
  <si>
    <t>00:39:29</t>
  </si>
  <si>
    <t>00:27:03</t>
  </si>
  <si>
    <t>01:06:59</t>
  </si>
  <si>
    <t>Hyd_Azam (1008533)</t>
  </si>
  <si>
    <t>00:39:37</t>
  </si>
  <si>
    <t>00:29:04</t>
  </si>
  <si>
    <t>01:09:47</t>
  </si>
  <si>
    <t>Hyd_Bhagwat Singh (1008534)</t>
  </si>
  <si>
    <t>00:40:00</t>
  </si>
  <si>
    <t>00:30:03</t>
  </si>
  <si>
    <t>00:59:16</t>
  </si>
  <si>
    <t>02:10:18</t>
  </si>
  <si>
    <t>Hyd_Bindu Nair (1008535)</t>
  </si>
  <si>
    <t>00:39:50</t>
  </si>
  <si>
    <t>00:30:09</t>
  </si>
  <si>
    <t>01:01:05</t>
  </si>
  <si>
    <t>02:11:17</t>
  </si>
  <si>
    <t>Hyd_Daleep Singh (1008536)</t>
  </si>
  <si>
    <t>00:39:28</t>
  </si>
  <si>
    <t>00:26:22</t>
  </si>
  <si>
    <t>01:12:54</t>
  </si>
  <si>
    <t>Hyd_Deepak Kumar (1008537)</t>
  </si>
  <si>
    <t>00:28:49</t>
  </si>
  <si>
    <t>00:30:30</t>
  </si>
  <si>
    <t>Hyd_Deepika Nigam (1008538)</t>
  </si>
  <si>
    <t>00:39:54</t>
  </si>
  <si>
    <t>00:29:57</t>
  </si>
  <si>
    <t>01:11:40</t>
  </si>
  <si>
    <t>Hyd_Dinesh Kumar (1008539)</t>
  </si>
  <si>
    <t>00:40:10</t>
  </si>
  <si>
    <t>00:29:29</t>
  </si>
  <si>
    <t>01:10:03</t>
  </si>
  <si>
    <t>Hyd_Hari Kumar (1008540)</t>
  </si>
  <si>
    <t>00:40:56</t>
  </si>
  <si>
    <t>00:31:30</t>
  </si>
  <si>
    <t>00:59:59</t>
  </si>
  <si>
    <t>00:31:59</t>
  </si>
  <si>
    <t>02:44:52</t>
  </si>
  <si>
    <t>Hyd_Heeramani Choudhary (1008541)</t>
  </si>
  <si>
    <t>00:30:00</t>
  </si>
  <si>
    <t>00:25:55</t>
  </si>
  <si>
    <t>00:08:29</t>
  </si>
  <si>
    <t>01:20:20</t>
  </si>
  <si>
    <t>Hyd_Indra Pal (1008542)</t>
  </si>
  <si>
    <t>00:29:16</t>
  </si>
  <si>
    <t>Hyd_Indra Singh (1008543)</t>
  </si>
  <si>
    <t>00:39:19</t>
  </si>
  <si>
    <t>00:28:23</t>
  </si>
  <si>
    <t>01:01:07</t>
  </si>
  <si>
    <t>02:09:14</t>
  </si>
  <si>
    <t>Hyd_Jagdish Chandra (1008544)</t>
  </si>
  <si>
    <t>00:26:41</t>
  </si>
  <si>
    <t>01:09:03</t>
  </si>
  <si>
    <t>Hyd_Jairaj Vatham (1008545)</t>
  </si>
  <si>
    <t>00:39:09</t>
  </si>
  <si>
    <t>00:29:05</t>
  </si>
  <si>
    <t>01:09:56</t>
  </si>
  <si>
    <t>Hyd_Janardan Mishra (1008546)</t>
  </si>
  <si>
    <t>00:25:16</t>
  </si>
  <si>
    <t>00:59:55</t>
  </si>
  <si>
    <t>01:28:09</t>
  </si>
  <si>
    <t>Hyd_Jitendra Kumar (1008547)</t>
  </si>
  <si>
    <t>00:39:30</t>
  </si>
  <si>
    <t>00:29:15</t>
  </si>
  <si>
    <t>00:57:43</t>
  </si>
  <si>
    <t>00:28:19</t>
  </si>
  <si>
    <t>02:35:12</t>
  </si>
  <si>
    <t>Hyd_John D'Costa (1008548)</t>
  </si>
  <si>
    <t>00:39:48</t>
  </si>
  <si>
    <t>00:29:36</t>
  </si>
  <si>
    <t>01:09:36</t>
  </si>
  <si>
    <t>Hyd_Julie S (1008549)</t>
  </si>
  <si>
    <t>01:10:44</t>
  </si>
  <si>
    <t>Hyd_Jyoti Tulsani (1008550)</t>
  </si>
  <si>
    <t>00:39:45</t>
  </si>
  <si>
    <t>00:29:47</t>
  </si>
  <si>
    <t>01:10:27</t>
  </si>
  <si>
    <t>Hyd_Kahkasha Parveen (1008551)</t>
  </si>
  <si>
    <t>00:41:56</t>
  </si>
  <si>
    <t>00:28:08</t>
  </si>
  <si>
    <t>01:10:12</t>
  </si>
  <si>
    <t>Hyd_Kailash Nath (1008552)</t>
  </si>
  <si>
    <t>00:38:04</t>
  </si>
  <si>
    <t>00:28:33</t>
  </si>
  <si>
    <t>01:07:40</t>
  </si>
  <si>
    <t>Hyd_Kalpana Agrawal (1008553)</t>
  </si>
  <si>
    <t>00:32:59</t>
  </si>
  <si>
    <t>00:32:50</t>
  </si>
  <si>
    <t>01:17:58</t>
  </si>
  <si>
    <t>02:24:54</t>
  </si>
  <si>
    <t>Hyd_Kamini Kumar (1008554)</t>
  </si>
  <si>
    <t>00:14:51</t>
  </si>
  <si>
    <t>00:15:00</t>
  </si>
  <si>
    <t>Hyd_Kamini Tiwari (1008555)</t>
  </si>
  <si>
    <t>00:36:12</t>
  </si>
  <si>
    <t>00:02:34</t>
  </si>
  <si>
    <t>01:09:45</t>
  </si>
  <si>
    <t>Hyd_Kavita Sharma (1008556)</t>
  </si>
  <si>
    <t>00:22:27</t>
  </si>
  <si>
    <t>00:32:36</t>
  </si>
  <si>
    <t>00:56:19</t>
  </si>
  <si>
    <t>Hyd_Kiran Khubchandani (1008557)</t>
  </si>
  <si>
    <t>00:39:52</t>
  </si>
  <si>
    <t>00:29:53</t>
  </si>
  <si>
    <t>01:00:11</t>
  </si>
  <si>
    <t>02:10:24</t>
  </si>
  <si>
    <t>Hyd_Kisun Sah (1008558)</t>
  </si>
  <si>
    <t>01:09:28</t>
  </si>
  <si>
    <t>Hyd_Krishana Kumar (1008559)</t>
  </si>
  <si>
    <t>00:29:39</t>
  </si>
  <si>
    <t>Hyd_Kunj Bihari (1008560)</t>
  </si>
  <si>
    <t>00:30:01</t>
  </si>
  <si>
    <t>01:10:11</t>
  </si>
  <si>
    <t>Hyd_Leena George (1008561)</t>
  </si>
  <si>
    <t>00:15:12</t>
  </si>
  <si>
    <t>00:02:41</t>
  </si>
  <si>
    <t>00:18:10</t>
  </si>
  <si>
    <t>Hyd_Lilly Lucy (1008562)</t>
  </si>
  <si>
    <t>00:20:52</t>
  </si>
  <si>
    <t>00:30:04</t>
  </si>
  <si>
    <t>00:23:27</t>
  </si>
  <si>
    <t>01:14:44</t>
  </si>
  <si>
    <t>Hyd_Mangal Singh (1008563)</t>
  </si>
  <si>
    <t>01:10:04</t>
  </si>
  <si>
    <t>Hyd_Manisha Shrivastava (1008564)</t>
  </si>
  <si>
    <t>00:39:58</t>
  </si>
  <si>
    <t>01:10:09</t>
  </si>
  <si>
    <t>Hyd_Manjusha Sinha (1008565)</t>
  </si>
  <si>
    <t>00:44:30</t>
  </si>
  <si>
    <t>00:25:13</t>
  </si>
  <si>
    <t>01:10:39</t>
  </si>
  <si>
    <t>Hyd_ManjuTiwari Lab (1008566)</t>
  </si>
  <si>
    <t>00:39:42</t>
  </si>
  <si>
    <t>00:30:06</t>
  </si>
  <si>
    <t>01:10:46</t>
  </si>
  <si>
    <t>Hyd_Manoj Kumar (1008567)</t>
  </si>
  <si>
    <t>01:09:53</t>
  </si>
  <si>
    <t>Hyd_Manoj Kumar (1008568)</t>
  </si>
  <si>
    <t>01:15:59</t>
  </si>
  <si>
    <t>Hyd_Masroor Adil (1008569)</t>
  </si>
  <si>
    <t>00:29:46</t>
  </si>
  <si>
    <t>01:11:39</t>
  </si>
  <si>
    <t>Hyd_Meena Zinjare (1008570)</t>
  </si>
  <si>
    <t>00:41:13</t>
  </si>
  <si>
    <t>01:06:34</t>
  </si>
  <si>
    <t>01:16:39</t>
  </si>
  <si>
    <t>03:34:45</t>
  </si>
  <si>
    <t>Hyd_Mehnaz Khan (1008571)</t>
  </si>
  <si>
    <t>00:29:32</t>
  </si>
  <si>
    <t>00:54:51</t>
  </si>
  <si>
    <t>00:07:49</t>
  </si>
  <si>
    <t>02:12:24</t>
  </si>
  <si>
    <t>Hyd_Mercy Thampi (1008572)</t>
  </si>
  <si>
    <t>00:14:48</t>
  </si>
  <si>
    <t>00:15:35</t>
  </si>
  <si>
    <t>Hyd_Miny Mole (1008573)</t>
  </si>
  <si>
    <t>01:02:58</t>
  </si>
  <si>
    <t>02:13:07</t>
  </si>
  <si>
    <t>Hyd_Mohd Rafi (1008574)</t>
  </si>
  <si>
    <t>00:57:24</t>
  </si>
  <si>
    <t>00:30:18</t>
  </si>
  <si>
    <t>02:38:29</t>
  </si>
  <si>
    <t>Hyd_Mubeen Khan (1008575)</t>
  </si>
  <si>
    <t>00:22:13</t>
  </si>
  <si>
    <t>00:29:56</t>
  </si>
  <si>
    <t>00:59:44</t>
  </si>
  <si>
    <t>00:30:05</t>
  </si>
  <si>
    <t>02:24:38</t>
  </si>
  <si>
    <t>Hyd_Mukesh Nagar (1008576)</t>
  </si>
  <si>
    <t>00:14:52</t>
  </si>
  <si>
    <t>00:14:31</t>
  </si>
  <si>
    <t>00:29:34</t>
  </si>
  <si>
    <t>Hyd_Nandu Kumar (1008577)</t>
  </si>
  <si>
    <t>00:21:10</t>
  </si>
  <si>
    <t>01:14:03</t>
  </si>
  <si>
    <t>Hyd_Narayan Singh (1008578)</t>
  </si>
  <si>
    <t>00:41:59</t>
  </si>
  <si>
    <t>00:24:59</t>
  </si>
  <si>
    <t>01:08:27</t>
  </si>
  <si>
    <t>Hyd_Neeraj Saxena (1008579)</t>
  </si>
  <si>
    <t>00:28:46</t>
  </si>
  <si>
    <t>01:05:52</t>
  </si>
  <si>
    <t>02:15:18</t>
  </si>
  <si>
    <t>Hyd_Neeru Mehta (1008580)</t>
  </si>
  <si>
    <t>Hyd_Nikita Panwalkar (1008581)</t>
  </si>
  <si>
    <t>00:40:04</t>
  </si>
  <si>
    <t>00:29:41</t>
  </si>
  <si>
    <t>00:27:31</t>
  </si>
  <si>
    <t>01:37:25</t>
  </si>
  <si>
    <t>Hyd_Nitin Bhatia (1008582)</t>
  </si>
  <si>
    <t>00:29:50</t>
  </si>
  <si>
    <t>Hyd_Om Prakash (1008583)</t>
  </si>
  <si>
    <t>00:29:54</t>
  </si>
  <si>
    <t>00:25:43</t>
  </si>
  <si>
    <t>01:36:03</t>
  </si>
  <si>
    <t>Hyd_Omprakash O (1008584)</t>
  </si>
  <si>
    <t>00:28:52</t>
  </si>
  <si>
    <t>01:01:11</t>
  </si>
  <si>
    <t>02:11:54</t>
  </si>
  <si>
    <t>Hyd_Owais Mohd (1008585)</t>
  </si>
  <si>
    <t>01:16:16</t>
  </si>
  <si>
    <t>02:26:26</t>
  </si>
  <si>
    <t>Hyd_Pankaj Shelkey (1008586)</t>
  </si>
  <si>
    <t>00:45:18</t>
  </si>
  <si>
    <t>01:55:26</t>
  </si>
  <si>
    <t>Hyd_Partha Sarathi (1008587)</t>
  </si>
  <si>
    <t>00:41:16</t>
  </si>
  <si>
    <t>00:29:14</t>
  </si>
  <si>
    <t>01:38:42</t>
  </si>
  <si>
    <t>Hyd_Prabha Desikan (1008588)</t>
  </si>
  <si>
    <t>00:39:03</t>
  </si>
  <si>
    <t>00:15:01</t>
  </si>
  <si>
    <t>02:36:37</t>
  </si>
  <si>
    <t>00:40:39</t>
  </si>
  <si>
    <t>04:11:26</t>
  </si>
  <si>
    <t>Hyd_Pramod Tiwari (1008589)</t>
  </si>
  <si>
    <t>00:16:04</t>
  </si>
  <si>
    <t>01:06:00</t>
  </si>
  <si>
    <t>02:18:51</t>
  </si>
  <si>
    <t>04:21:06</t>
  </si>
  <si>
    <t>Hyd_Prasannakumari S (1008590)</t>
  </si>
  <si>
    <t>00:30:15</t>
  </si>
  <si>
    <t>01:10:25</t>
  </si>
  <si>
    <t>Hyd_Praveen Kumar (1008591)</t>
  </si>
  <si>
    <t>00:41:26</t>
  </si>
  <si>
    <t>00:27:00</t>
  </si>
  <si>
    <t>01:28:47</t>
  </si>
  <si>
    <t>02:37:28</t>
  </si>
  <si>
    <t>Hyd_Rachel Mathew (1008592)</t>
  </si>
  <si>
    <t>00:36:50</t>
  </si>
  <si>
    <t>00:15:31</t>
  </si>
  <si>
    <t>02:27:33</t>
  </si>
  <si>
    <t>03:20:01</t>
  </si>
  <si>
    <t>Hyd_Rachita Anupam (1008593)</t>
  </si>
  <si>
    <t>00:43:23</t>
  </si>
  <si>
    <t>00:25:02</t>
  </si>
  <si>
    <t>01:08:32</t>
  </si>
  <si>
    <t>Hyd_Rachna Chauhan (1008594)</t>
  </si>
  <si>
    <t>00:30:20</t>
  </si>
  <si>
    <t>Hyd_Raj Kumar (1008595)</t>
  </si>
  <si>
    <t>00:39:14</t>
  </si>
  <si>
    <t>01:08:44</t>
  </si>
  <si>
    <t>Hyd_Rajeev Garg (1008596)</t>
  </si>
  <si>
    <t>00:25:04</t>
  </si>
  <si>
    <t>01:08:24</t>
  </si>
  <si>
    <t>Hyd_Rajeev Kumar (1008597)</t>
  </si>
  <si>
    <t>00:39:40</t>
  </si>
  <si>
    <t>00:30:17</t>
  </si>
  <si>
    <t>00:26:42</t>
  </si>
  <si>
    <t>01:37:06</t>
  </si>
  <si>
    <t>Hyd_Rajendra Gupta (1008598)</t>
  </si>
  <si>
    <t>00:40:05</t>
  </si>
  <si>
    <t>00:08:54</t>
  </si>
  <si>
    <t>01:19:08</t>
  </si>
  <si>
    <t>Hyd_Rajendra Kumar (1008599)</t>
  </si>
  <si>
    <t>00:41:03</t>
  </si>
  <si>
    <t>00:18:31</t>
  </si>
  <si>
    <t>00:51:05</t>
  </si>
  <si>
    <t>00:40:02</t>
  </si>
  <si>
    <t>02:34:16</t>
  </si>
  <si>
    <t>Hyd_Rajendra Prasad (1008600)</t>
  </si>
  <si>
    <t>00:39:47</t>
  </si>
  <si>
    <t>00:15:10</t>
  </si>
  <si>
    <t>03:11:33</t>
  </si>
  <si>
    <t>02:38:03</t>
  </si>
  <si>
    <t>00:22:18</t>
  </si>
  <si>
    <t>07:08:19</t>
  </si>
  <si>
    <t>Hyd_Rajesh Kumar (1008601)</t>
  </si>
  <si>
    <t>00:39:36</t>
  </si>
  <si>
    <t>00:01:27</t>
  </si>
  <si>
    <t>01:12:04</t>
  </si>
  <si>
    <t>Hyd_Rajesh Kumar (1008602)</t>
  </si>
  <si>
    <t>00:52:20</t>
  </si>
  <si>
    <t>02:06:35</t>
  </si>
  <si>
    <t>Hyd_Rajesh Sharma (1008603)</t>
  </si>
  <si>
    <t>00:15:03</t>
  </si>
  <si>
    <t>00:00:02</t>
  </si>
  <si>
    <t>00:08:32</t>
  </si>
  <si>
    <t>00:24:27</t>
  </si>
  <si>
    <t>Hyd_Raji Abraham (1008604)</t>
  </si>
  <si>
    <t>00:39:46</t>
  </si>
  <si>
    <t>Hyd_Rajshree Dhabekar (1008605)</t>
  </si>
  <si>
    <t>00:27:28</t>
  </si>
  <si>
    <t>02:37:19</t>
  </si>
  <si>
    <t>04:29:57</t>
  </si>
  <si>
    <t>08:15:09</t>
  </si>
  <si>
    <t>Hyd_Rakhi Jodhani (1008606)</t>
  </si>
  <si>
    <t>00:17:15</t>
  </si>
  <si>
    <t>02:37:45</t>
  </si>
  <si>
    <t>03:05:19</t>
  </si>
  <si>
    <t>06:39:44</t>
  </si>
  <si>
    <t>Hyd_Ramji Prasad (1008607)</t>
  </si>
  <si>
    <t>00:39:33</t>
  </si>
  <si>
    <t>00:29:13</t>
  </si>
  <si>
    <t>00:03:52</t>
  </si>
  <si>
    <t>01:13:46</t>
  </si>
  <si>
    <t>Del_Rashid (1008608)</t>
  </si>
  <si>
    <t>00:15:13</t>
  </si>
  <si>
    <t>04:49:55</t>
  </si>
  <si>
    <t>05:45:13</t>
  </si>
  <si>
    <t>Del_Rashmi Gajbe (1008609)</t>
  </si>
  <si>
    <t>00:37:12</t>
  </si>
  <si>
    <t>00:28:12</t>
  </si>
  <si>
    <t>00:57:50</t>
  </si>
  <si>
    <t>02:04:58</t>
  </si>
  <si>
    <t>Del_Ravi Kumar (1008610)</t>
  </si>
  <si>
    <t>01:11:14</t>
  </si>
  <si>
    <t>Del_Ravinder Kaur (1008611)</t>
  </si>
  <si>
    <t>00:38:25</t>
  </si>
  <si>
    <t>00:30:57</t>
  </si>
  <si>
    <t>Del_Rekha Agarwal (1008612)</t>
  </si>
  <si>
    <t>00:21:26</t>
  </si>
  <si>
    <t>00:48:36</t>
  </si>
  <si>
    <t>00:53:33</t>
  </si>
  <si>
    <t>00:31:25</t>
  </si>
  <si>
    <t>Del_Rekha Gupta (1008613)</t>
  </si>
  <si>
    <t>00:41:04</t>
  </si>
  <si>
    <t>01:50:37</t>
  </si>
  <si>
    <t>Del_Rekha Jain  (1008614)</t>
  </si>
  <si>
    <t>00:37:35</t>
  </si>
  <si>
    <t>00:38:20</t>
  </si>
  <si>
    <t>00:19:57</t>
  </si>
  <si>
    <t>01:36:57</t>
  </si>
  <si>
    <t>Del_Renu Pratap (1008615)</t>
  </si>
  <si>
    <t>00:38:05</t>
  </si>
  <si>
    <t>01:18:15</t>
  </si>
  <si>
    <t>02:37:00</t>
  </si>
  <si>
    <t>00:03:35</t>
  </si>
  <si>
    <t>05:07:55</t>
  </si>
  <si>
    <t>Del_Ritu Bhatnagar (1008616)</t>
  </si>
  <si>
    <t>00:42:29</t>
  </si>
  <si>
    <t>00:29:37</t>
  </si>
  <si>
    <t>01:13:20</t>
  </si>
  <si>
    <t>Del_Rohit Nishchal (1008617)</t>
  </si>
  <si>
    <t>00:29:27</t>
  </si>
  <si>
    <t>07:06:42</t>
  </si>
  <si>
    <t>08:17:00</t>
  </si>
  <si>
    <t>Del_Roli Bhatnagar (1008618)</t>
  </si>
  <si>
    <t>01:03:42</t>
  </si>
  <si>
    <t>02:10:16</t>
  </si>
  <si>
    <t>Del_Roma Rastogi (1008619)</t>
  </si>
  <si>
    <t>00:28:00</t>
  </si>
  <si>
    <t>00:25:27</t>
  </si>
  <si>
    <t>00:53:47</t>
  </si>
  <si>
    <t>Del_Roohi Haider (1008620)</t>
  </si>
  <si>
    <t>01:09:24</t>
  </si>
  <si>
    <t>Del_Sajid Naqvi (1008621)</t>
  </si>
  <si>
    <t>00:40:48</t>
  </si>
  <si>
    <t>00:27:41</t>
  </si>
  <si>
    <t>01:08:40</t>
  </si>
  <si>
    <t>Del_Salim (1008622)</t>
  </si>
  <si>
    <t>00:29:18</t>
  </si>
  <si>
    <t>00:48:57</t>
  </si>
  <si>
    <t>01:59:29</t>
  </si>
  <si>
    <t>Del_Sanjay Hire (1008623)</t>
  </si>
  <si>
    <t>00:39:16</t>
  </si>
  <si>
    <t>01:09:43</t>
  </si>
  <si>
    <t>Del_Sanjiv Subherwal (1008624)</t>
  </si>
  <si>
    <t>00:40:08</t>
  </si>
  <si>
    <t>00:29:42</t>
  </si>
  <si>
    <t>01:10:15</t>
  </si>
  <si>
    <t>Del_Sanju Ramdas (1008625)</t>
  </si>
  <si>
    <t>00:04:02</t>
  </si>
  <si>
    <t>01:13:56</t>
  </si>
  <si>
    <t>Del_Santosh Kumar (1008626)</t>
  </si>
  <si>
    <t>01:09:48</t>
  </si>
  <si>
    <t>Del_Santosh Kumar (1008627)</t>
  </si>
  <si>
    <t>00:40:01</t>
  </si>
  <si>
    <t>Del_Santosh Kumar (1008628)</t>
  </si>
  <si>
    <t>00:41:46</t>
  </si>
  <si>
    <t>00:28:09</t>
  </si>
  <si>
    <t>01:12:01</t>
  </si>
  <si>
    <t>Del_Sapna Sharma (1008629)</t>
  </si>
  <si>
    <t>00:38:46</t>
  </si>
  <si>
    <t>00:23:22</t>
  </si>
  <si>
    <t>01:32:37</t>
  </si>
  <si>
    <t>Del_Saroj Parita (1008630)</t>
  </si>
  <si>
    <t>00:42:28</t>
  </si>
  <si>
    <t>00:25:06</t>
  </si>
  <si>
    <t>00:31:53</t>
  </si>
  <si>
    <t>01:45:37</t>
  </si>
  <si>
    <t>Del_Shailaja Kamal (1008631)</t>
  </si>
  <si>
    <t>00:38:40</t>
  </si>
  <si>
    <t>01:08:46</t>
  </si>
  <si>
    <t>Del_Shailendra Barge (1008632)</t>
  </si>
  <si>
    <t>00:29:48</t>
  </si>
  <si>
    <t>02:31:25</t>
  </si>
  <si>
    <t>03:43:06</t>
  </si>
  <si>
    <t>Del_Shankar Attendant (1008633)</t>
  </si>
  <si>
    <t>00:39:24</t>
  </si>
  <si>
    <t>00:30:43</t>
  </si>
  <si>
    <t>01:23:39</t>
  </si>
  <si>
    <t>00:40:50</t>
  </si>
  <si>
    <t>03:15:05</t>
  </si>
  <si>
    <t>Del_Shashikant Tiwari (1008634)</t>
  </si>
  <si>
    <t>Del_Sheeba Joseph (1008635)</t>
  </si>
  <si>
    <t>00:35:25</t>
  </si>
  <si>
    <t>00:55:39</t>
  </si>
  <si>
    <t>Del_Sheena Joseph (1008636)</t>
  </si>
  <si>
    <t>00:41:10</t>
  </si>
  <si>
    <t>00:29:22</t>
  </si>
  <si>
    <t>01:41:30</t>
  </si>
  <si>
    <t>Del_Shephali Jain (1008637)</t>
  </si>
  <si>
    <t>00:39:39</t>
  </si>
  <si>
    <t>00:14:27</t>
  </si>
  <si>
    <t>02:28:42</t>
  </si>
  <si>
    <t>03:23:49</t>
  </si>
  <si>
    <t>Del_Shivji Prasad (1008638)</t>
  </si>
  <si>
    <t>00:31:02</t>
  </si>
  <si>
    <t>01:05:37</t>
  </si>
  <si>
    <t>02:17:48</t>
  </si>
  <si>
    <t>Del_Shubhanjali Joshi (1008639)</t>
  </si>
  <si>
    <t>00:29:45</t>
  </si>
  <si>
    <t>00:09:13</t>
  </si>
  <si>
    <t>01:19:32</t>
  </si>
  <si>
    <t>Del_Shyamal Malakar (1008640)</t>
  </si>
  <si>
    <t>00:29:21</t>
  </si>
  <si>
    <t>00:52:47</t>
  </si>
  <si>
    <t>02:31:52</t>
  </si>
  <si>
    <t>04:35:37</t>
  </si>
  <si>
    <t>Del_Sneh Khan (1008641)</t>
  </si>
  <si>
    <t>00:29:51</t>
  </si>
  <si>
    <t>01:09:51</t>
  </si>
  <si>
    <t>Del_Sonaram Munda (1008642)</t>
  </si>
  <si>
    <t>00:47:26</t>
  </si>
  <si>
    <t>01:57:15</t>
  </si>
  <si>
    <t>Del_Sudama Kumar (1008643)</t>
  </si>
  <si>
    <t>00:15:16</t>
  </si>
  <si>
    <t>03:40:36</t>
  </si>
  <si>
    <t>04:36:20</t>
  </si>
  <si>
    <t>Del_Sudhir Kumar (1008644)</t>
  </si>
  <si>
    <t>00:43:27</t>
  </si>
  <si>
    <t>00:28:35</t>
  </si>
  <si>
    <t>01:14:24</t>
  </si>
  <si>
    <t>Del_Sunil Kumar (1008645)</t>
  </si>
  <si>
    <t>00:40:09</t>
  </si>
  <si>
    <t>00:50:33</t>
  </si>
  <si>
    <t>00:02:33</t>
  </si>
  <si>
    <t>02:22:56</t>
  </si>
  <si>
    <t>03:56:57</t>
  </si>
  <si>
    <t>Del_Sunil Kumar (1008646)</t>
  </si>
  <si>
    <t>00:35:18</t>
  </si>
  <si>
    <t>01:12:29</t>
  </si>
  <si>
    <t>02:16:51</t>
  </si>
  <si>
    <t>Del_Sunita Chawla (1008647)</t>
  </si>
  <si>
    <t>00:40:03</t>
  </si>
  <si>
    <t>00:30:37</t>
  </si>
  <si>
    <t>00:55:51</t>
  </si>
  <si>
    <t>02:06:43</t>
  </si>
  <si>
    <t>Del_Sunita Madnani (1008648)</t>
  </si>
  <si>
    <t>00:40:15</t>
  </si>
  <si>
    <t>00:27:30</t>
  </si>
  <si>
    <t>01:08:15</t>
  </si>
  <si>
    <t>Del_Surendra Kumar (1008649)</t>
  </si>
  <si>
    <t>00:27:48</t>
  </si>
  <si>
    <t>03:18:17</t>
  </si>
  <si>
    <t>03:46:52</t>
  </si>
  <si>
    <t>Del_Surendranath Thakur (1008650)</t>
  </si>
  <si>
    <t>01:05:59</t>
  </si>
  <si>
    <t>02:17:05</t>
  </si>
  <si>
    <t>Del_Sushma Khandelwal (1008651)</t>
  </si>
  <si>
    <t>01:10:21</t>
  </si>
  <si>
    <t>Del_Swarnlata Borse (1008652)</t>
  </si>
  <si>
    <t>00:39:22</t>
  </si>
  <si>
    <t>00:28:37</t>
  </si>
  <si>
    <t>00:54:22</t>
  </si>
  <si>
    <t>02:30:10</t>
  </si>
  <si>
    <t>04:32:37</t>
  </si>
  <si>
    <t>Del_Syed Naved (1008653)</t>
  </si>
  <si>
    <t>00:34:44</t>
  </si>
  <si>
    <t>Del_Syed Saqib (1008654)</t>
  </si>
  <si>
    <t>00:37:49</t>
  </si>
  <si>
    <t>00:30:51</t>
  </si>
  <si>
    <t>03:54:15</t>
  </si>
  <si>
    <t>05:03:34</t>
  </si>
  <si>
    <t>Del_Syed Sohail (1008655)</t>
  </si>
  <si>
    <t>00:32:08</t>
  </si>
  <si>
    <t>Del_System Operator (1008656)</t>
  </si>
  <si>
    <t>00:14:57</t>
  </si>
  <si>
    <t>00:56:05</t>
  </si>
  <si>
    <t>Del_Tahira Qureshi (1008657)</t>
  </si>
  <si>
    <t>00:43:30</t>
  </si>
  <si>
    <t>00:22:35</t>
  </si>
  <si>
    <t>01:06:22</t>
  </si>
  <si>
    <t>01:47:33</t>
  </si>
  <si>
    <t>04:02:30</t>
  </si>
  <si>
    <t>Del_Tapas Chakraborty (1008658)</t>
  </si>
  <si>
    <t>00:34:07</t>
  </si>
  <si>
    <t>00:35:28</t>
  </si>
  <si>
    <t>01:12:11</t>
  </si>
  <si>
    <t>Del_Tariq Akhlaq (1008659)</t>
  </si>
  <si>
    <t>00:14:54</t>
  </si>
  <si>
    <t>Del_Tasneem Khan (1008660)</t>
  </si>
  <si>
    <t>00:40:06</t>
  </si>
  <si>
    <t>00:29:10</t>
  </si>
  <si>
    <t>01:06:50</t>
  </si>
  <si>
    <t>Total Working Hours</t>
  </si>
  <si>
    <t xml:space="preserve">Work Efficiency </t>
  </si>
  <si>
    <t>Attended Calls</t>
  </si>
  <si>
    <t>Efficiency in Percentage</t>
  </si>
  <si>
    <t>Active With Cust.</t>
  </si>
  <si>
    <t>Active Time</t>
  </si>
  <si>
    <t>Other</t>
  </si>
  <si>
    <t>Not Working %</t>
  </si>
  <si>
    <t>Call Keeping</t>
  </si>
  <si>
    <t>Break During Calls</t>
  </si>
  <si>
    <t>Non Break %</t>
  </si>
  <si>
    <t>% Other Work</t>
  </si>
  <si>
    <t>Long Time</t>
  </si>
  <si>
    <t>Short Time Holds</t>
  </si>
  <si>
    <t>Long Call Holds</t>
  </si>
  <si>
    <t>No Hold</t>
  </si>
  <si>
    <t>08:15:43</t>
  </si>
  <si>
    <t>04:57:59</t>
  </si>
  <si>
    <t>08:15:36</t>
  </si>
  <si>
    <t>04:58:34</t>
  </si>
  <si>
    <t>08:16:57</t>
  </si>
  <si>
    <t>04:49:35</t>
  </si>
  <si>
    <t>08:09:56</t>
  </si>
  <si>
    <t>04:17:32</t>
  </si>
  <si>
    <t>07:20:41</t>
  </si>
  <si>
    <t>03:19:44</t>
  </si>
  <si>
    <t>05:00:09</t>
  </si>
  <si>
    <t>03:41:19</t>
  </si>
  <si>
    <t>08:16:38</t>
  </si>
  <si>
    <t>04:12:46</t>
  </si>
  <si>
    <t>09:16:31</t>
  </si>
  <si>
    <t>05:52:08</t>
  </si>
  <si>
    <t>08:13:18</t>
  </si>
  <si>
    <t>04:52:29</t>
  </si>
  <si>
    <t>08:20:41</t>
  </si>
  <si>
    <t>04:58:07</t>
  </si>
  <si>
    <t>08:10:35</t>
  </si>
  <si>
    <t>04:55:28</t>
  </si>
  <si>
    <t>08:04:10</t>
  </si>
  <si>
    <t>03:47:42</t>
  </si>
  <si>
    <t>08:14:38</t>
  </si>
  <si>
    <t>04:43:40</t>
  </si>
  <si>
    <t>07:59:50</t>
  </si>
  <si>
    <t>04:40:27</t>
  </si>
  <si>
    <t>08:16:59</t>
  </si>
  <si>
    <t>04:57:35</t>
  </si>
  <si>
    <t>08:17:15</t>
  </si>
  <si>
    <t>04:10:25</t>
  </si>
  <si>
    <t>07:53:01</t>
  </si>
  <si>
    <t>04:44:12</t>
  </si>
  <si>
    <t>08:16:43</t>
  </si>
  <si>
    <t>08:21:16</t>
  </si>
  <si>
    <t>04:23:03</t>
  </si>
  <si>
    <t>08:17:52</t>
  </si>
  <si>
    <t>04:58:14</t>
  </si>
  <si>
    <t>08:13:41</t>
  </si>
  <si>
    <t>04:53:40</t>
  </si>
  <si>
    <t>08:17:34</t>
  </si>
  <si>
    <t>04:59:50</t>
  </si>
  <si>
    <t>07:41:44</t>
  </si>
  <si>
    <t>04:08:57</t>
  </si>
  <si>
    <t>08:10:04</t>
  </si>
  <si>
    <t>04:14:05</t>
  </si>
  <si>
    <t>08:14:20</t>
  </si>
  <si>
    <t>05:26:56</t>
  </si>
  <si>
    <t>07:35:57</t>
  </si>
  <si>
    <t>05:05:16</t>
  </si>
  <si>
    <t>04:56:45</t>
  </si>
  <si>
    <t>08:13:53</t>
  </si>
  <si>
    <t>05:06:20</t>
  </si>
  <si>
    <t>08:15:11</t>
  </si>
  <si>
    <t>04:11:43</t>
  </si>
  <si>
    <t>07:27:24</t>
  </si>
  <si>
    <t>04:35:28</t>
  </si>
  <si>
    <t>07:59:57</t>
  </si>
  <si>
    <t>05:14:16</t>
  </si>
  <si>
    <t>08:17:44</t>
  </si>
  <si>
    <t>05:05:03</t>
  </si>
  <si>
    <t>08:19:10</t>
  </si>
  <si>
    <t>04:59:15</t>
  </si>
  <si>
    <t>08:16:23</t>
  </si>
  <si>
    <t>05:02:08</t>
  </si>
  <si>
    <t>07:39:42</t>
  </si>
  <si>
    <t>04:32:56</t>
  </si>
  <si>
    <t>08:11:27</t>
  </si>
  <si>
    <t>04:07:41</t>
  </si>
  <si>
    <t>08:09:47</t>
  </si>
  <si>
    <t>04:51:30</t>
  </si>
  <si>
    <t>08:15:46</t>
  </si>
  <si>
    <t>04:56:12</t>
  </si>
  <si>
    <t>08:15:19</t>
  </si>
  <si>
    <t>04:56:56</t>
  </si>
  <si>
    <t>08:17:24</t>
  </si>
  <si>
    <t>05:25:18</t>
  </si>
  <si>
    <t>08:16:01</t>
  </si>
  <si>
    <t>04:58:27</t>
  </si>
  <si>
    <t>08:00:08</t>
  </si>
  <si>
    <t>03:54:19</t>
  </si>
  <si>
    <t>05:01:37</t>
  </si>
  <si>
    <t>03:21:30</t>
  </si>
  <si>
    <t>08:26:46</t>
  </si>
  <si>
    <t>05:18:49</t>
  </si>
  <si>
    <t>07:53:25</t>
  </si>
  <si>
    <t>05:26:19</t>
  </si>
  <si>
    <t>08:01:28</t>
  </si>
  <si>
    <t>04:13:15</t>
  </si>
  <si>
    <t>08:21:34</t>
  </si>
  <si>
    <t>05:08:41</t>
  </si>
  <si>
    <t>08:15:28</t>
  </si>
  <si>
    <t>04:45:06</t>
  </si>
  <si>
    <t>07:59:19</t>
  </si>
  <si>
    <t>04:42:13</t>
  </si>
  <si>
    <t>04:56:13</t>
  </si>
  <si>
    <t>03:10:50</t>
  </si>
  <si>
    <t>07:45:23</t>
  </si>
  <si>
    <t>04:39:06</t>
  </si>
  <si>
    <t>08:00:13</t>
  </si>
  <si>
    <t>04:46:25</t>
  </si>
  <si>
    <t>08:09:49</t>
  </si>
  <si>
    <t>04:51:12</t>
  </si>
  <si>
    <t>08:14:05</t>
  </si>
  <si>
    <t>05:04:01</t>
  </si>
  <si>
    <t>07:41:28</t>
  </si>
  <si>
    <t>04:26:11</t>
  </si>
  <si>
    <t>08:00:44</t>
  </si>
  <si>
    <t>04:28:58</t>
  </si>
  <si>
    <t>07:55:23</t>
  </si>
  <si>
    <t>04:29:51</t>
  </si>
  <si>
    <t>05:04:35</t>
  </si>
  <si>
    <t>08:05:29</t>
  </si>
  <si>
    <t>03:09:32</t>
  </si>
  <si>
    <t>08:14:51</t>
  </si>
  <si>
    <t>04:08:21</t>
  </si>
  <si>
    <t>05:15:35</t>
  </si>
  <si>
    <t>03:38:44</t>
  </si>
  <si>
    <t>08:12:10</t>
  </si>
  <si>
    <t>04:14:06</t>
  </si>
  <si>
    <t>08:00:32</t>
  </si>
  <si>
    <t>03:55:15</t>
  </si>
  <si>
    <t>07:55:35</t>
  </si>
  <si>
    <t>03:50:43</t>
  </si>
  <si>
    <t>05:01:07</t>
  </si>
  <si>
    <t>03:13:40</t>
  </si>
  <si>
    <t>08:21:39</t>
  </si>
  <si>
    <t>04:43:39</t>
  </si>
  <si>
    <t>08:19:29</t>
  </si>
  <si>
    <t>04:54:19</t>
  </si>
  <si>
    <t>08:21:13</t>
  </si>
  <si>
    <t>04:36:09</t>
  </si>
  <si>
    <t>08:02:20</t>
  </si>
  <si>
    <t>04:44:15</t>
  </si>
  <si>
    <t>08:16:46</t>
  </si>
  <si>
    <t>04:58:45</t>
  </si>
  <si>
    <t>08:00:37</t>
  </si>
  <si>
    <t>04:44:56</t>
  </si>
  <si>
    <t>07:55:44</t>
  </si>
  <si>
    <t>04:26:21</t>
  </si>
  <si>
    <t>08:09:43</t>
  </si>
  <si>
    <t>04:02:05</t>
  </si>
  <si>
    <t>08:01:11</t>
  </si>
  <si>
    <t>04:02:50</t>
  </si>
  <si>
    <t>08:15:54</t>
  </si>
  <si>
    <t>04:26:54</t>
  </si>
  <si>
    <t>08:32:22</t>
  </si>
  <si>
    <t>05:11:39</t>
  </si>
  <si>
    <t>08:21:49</t>
  </si>
  <si>
    <t>03:03:51</t>
  </si>
  <si>
    <t>08:25:20</t>
  </si>
  <si>
    <t>02:54:03</t>
  </si>
  <si>
    <t>08:08:02</t>
  </si>
  <si>
    <t>05:10:46</t>
  </si>
  <si>
    <t>08:19:20</t>
  </si>
  <si>
    <t>04:08:46</t>
  </si>
  <si>
    <t>08:25:36</t>
  </si>
  <si>
    <t>03:40:53</t>
  </si>
  <si>
    <t>08:16:26</t>
  </si>
  <si>
    <t>05:16:03</t>
  </si>
  <si>
    <t>07:36:07</t>
  </si>
  <si>
    <t>05:07:23</t>
  </si>
  <si>
    <t>08:09:57</t>
  </si>
  <si>
    <t>05:03:51</t>
  </si>
  <si>
    <t>08:04:00</t>
  </si>
  <si>
    <t>05:05:29</t>
  </si>
  <si>
    <t>07:59:43</t>
  </si>
  <si>
    <t>04:28:51</t>
  </si>
  <si>
    <t>08:25:57</t>
  </si>
  <si>
    <t>04:58:12</t>
  </si>
  <si>
    <t>08:14:44</t>
  </si>
  <si>
    <t>03:55:22</t>
  </si>
  <si>
    <t>08:22:34</t>
  </si>
  <si>
    <t>00:48:33</t>
  </si>
  <si>
    <t>08:00:39</t>
  </si>
  <si>
    <t>05:11:50</t>
  </si>
  <si>
    <t>08:17:39</t>
  </si>
  <si>
    <t>04:49:40</t>
  </si>
  <si>
    <t>05:04:31</t>
  </si>
  <si>
    <t>03:24:21</t>
  </si>
  <si>
    <t>08:10:41</t>
  </si>
  <si>
    <t>04:44:35</t>
  </si>
  <si>
    <t>08:15:13</t>
  </si>
  <si>
    <t>0</t>
  </si>
  <si>
    <t>08:02:52</t>
  </si>
  <si>
    <t>01:13:06</t>
  </si>
  <si>
    <t>08:19:26</t>
  </si>
  <si>
    <t>04:53:04</t>
  </si>
  <si>
    <t>08:02:10</t>
  </si>
  <si>
    <t>01:36:08</t>
  </si>
  <si>
    <t>08:20:42</t>
  </si>
  <si>
    <t>04:16:57</t>
  </si>
  <si>
    <t>04:47:03</t>
  </si>
  <si>
    <t>08:01:53</t>
  </si>
  <si>
    <t>04:38:57</t>
  </si>
  <si>
    <t>05:53:52</t>
  </si>
  <si>
    <t>02:53:07</t>
  </si>
  <si>
    <t>08:16:02</t>
  </si>
  <si>
    <t>04:22:52</t>
  </si>
  <si>
    <t>08:15:42</t>
  </si>
  <si>
    <t>04:25:29</t>
  </si>
  <si>
    <t>08:16:30</t>
  </si>
  <si>
    <t>02:30:29</t>
  </si>
  <si>
    <t>08:01:48</t>
  </si>
  <si>
    <t>04:52:13</t>
  </si>
  <si>
    <t>08:17:09</t>
  </si>
  <si>
    <t>04:08:30</t>
  </si>
  <si>
    <t>08:31:02</t>
  </si>
  <si>
    <t>05:35:38</t>
  </si>
  <si>
    <t>08:00:11</t>
  </si>
  <si>
    <t>04:52:11</t>
  </si>
  <si>
    <t>08:15:48</t>
  </si>
  <si>
    <t>05:00:37</t>
  </si>
  <si>
    <t>08:15:56</t>
  </si>
  <si>
    <t>04:37:42</t>
  </si>
  <si>
    <t>08:15:52</t>
  </si>
  <si>
    <t>05:00:14</t>
  </si>
  <si>
    <t>08:02:17</t>
  </si>
  <si>
    <t>05:06:07</t>
  </si>
  <si>
    <t>08:15:58</t>
  </si>
  <si>
    <t>05:19:44</t>
  </si>
  <si>
    <t>05:03:10</t>
  </si>
  <si>
    <t>08:17:04</t>
  </si>
  <si>
    <t>05:09:57</t>
  </si>
  <si>
    <t>08:02:59</t>
  </si>
  <si>
    <t>04:44:19</t>
  </si>
  <si>
    <t>08:04:14</t>
  </si>
  <si>
    <t>04:33:29</t>
  </si>
  <si>
    <t>08:01:59</t>
  </si>
  <si>
    <t>04:31:42</t>
  </si>
  <si>
    <t>08:09:14</t>
  </si>
  <si>
    <t>04:51:46</t>
  </si>
  <si>
    <t>08:17:38</t>
  </si>
  <si>
    <t>03:26:09</t>
  </si>
  <si>
    <t>07:57:56</t>
  </si>
  <si>
    <t>03:27:15</t>
  </si>
  <si>
    <t>08:14:55</t>
  </si>
  <si>
    <t>05:19:10</t>
  </si>
  <si>
    <t>08:30:57</t>
  </si>
  <si>
    <t>03:41:07</t>
  </si>
  <si>
    <t>08:49:34</t>
  </si>
  <si>
    <t>05:10:26</t>
  </si>
  <si>
    <t>08:25:43</t>
  </si>
  <si>
    <t>03:41:29</t>
  </si>
  <si>
    <t>08:11:40</t>
  </si>
  <si>
    <t>04:12:39</t>
  </si>
  <si>
    <t>08:17:17</t>
  </si>
  <si>
    <t>04:54:52</t>
  </si>
  <si>
    <t>02:53:35</t>
  </si>
  <si>
    <t>08:09:15</t>
  </si>
  <si>
    <t>05:06:25</t>
  </si>
  <si>
    <t>08:00:41</t>
  </si>
  <si>
    <t>04:11:10</t>
  </si>
  <si>
    <t>02:38:49</t>
  </si>
  <si>
    <t>08:00:18</t>
  </si>
  <si>
    <t>04:35:36</t>
  </si>
  <si>
    <t>08:03:26</t>
  </si>
  <si>
    <t>02:58:37</t>
  </si>
  <si>
    <t>08:05:06</t>
  </si>
  <si>
    <t>04:05:03</t>
  </si>
  <si>
    <t>08:05:25</t>
  </si>
  <si>
    <t>04:31:57</t>
  </si>
  <si>
    <t>08:14:02</t>
  </si>
  <si>
    <t>05:19:12</t>
  </si>
  <si>
    <t>07:29:10</t>
  </si>
  <si>
    <t>02:54:25</t>
  </si>
  <si>
    <t>08:33:53</t>
  </si>
  <si>
    <t>04:36:50</t>
  </si>
  <si>
    <t>08:15:15</t>
  </si>
  <si>
    <t>04:50:07</t>
  </si>
  <si>
    <t>08:19:05</t>
  </si>
  <si>
    <t>02:59:39</t>
  </si>
  <si>
    <t>08:13:39</t>
  </si>
  <si>
    <t>05:24:05</t>
  </si>
  <si>
    <t>08:24:48</t>
  </si>
  <si>
    <t>02:52:08</t>
  </si>
  <si>
    <t>08:17:53</t>
  </si>
  <si>
    <t>04:51:52</t>
  </si>
  <si>
    <t>08:30:54</t>
  </si>
  <si>
    <t>05:15:36</t>
  </si>
  <si>
    <t>08:46:13</t>
  </si>
  <si>
    <t>03:36:51</t>
  </si>
  <si>
    <t>08:14:56</t>
  </si>
  <si>
    <t>05:15:14</t>
  </si>
  <si>
    <t>04:59:55</t>
  </si>
  <si>
    <t>03:08:41</t>
  </si>
  <si>
    <t>08:33:55</t>
  </si>
  <si>
    <t>04:38:49</t>
  </si>
  <si>
    <t>Transferred calls</t>
  </si>
  <si>
    <t>Call Conferenced</t>
  </si>
  <si>
    <t>Call Redirected</t>
  </si>
  <si>
    <t>Hold Calls</t>
  </si>
  <si>
    <t>% of Calls onHold</t>
  </si>
  <si>
    <t>Average Duration of Calls</t>
  </si>
  <si>
    <t>Avg. In Focus Hold Calls</t>
  </si>
  <si>
    <t>Calls Unattend Time'</t>
  </si>
  <si>
    <t>00:04:13</t>
  </si>
  <si>
    <t>00:00:01</t>
  </si>
  <si>
    <t>00:00:09</t>
  </si>
  <si>
    <t>00:04:10</t>
  </si>
  <si>
    <t>00:00:07</t>
  </si>
  <si>
    <t>00:04:25</t>
  </si>
  <si>
    <t>00:00:59</t>
  </si>
  <si>
    <t>00:00:11</t>
  </si>
  <si>
    <t>00:04:26</t>
  </si>
  <si>
    <t>00:00:14</t>
  </si>
  <si>
    <t>00:03:26</t>
  </si>
  <si>
    <t>00:00:03</t>
  </si>
  <si>
    <t>00:00:10</t>
  </si>
  <si>
    <t>00:03:54</t>
  </si>
  <si>
    <t>00:00:51</t>
  </si>
  <si>
    <t>00:00:27</t>
  </si>
  <si>
    <t>00:04:07</t>
  </si>
  <si>
    <t>00:00:04</t>
  </si>
  <si>
    <t>00:00:26</t>
  </si>
  <si>
    <t>00:00:16</t>
  </si>
  <si>
    <t>00:04:18</t>
  </si>
  <si>
    <t>00:04:22</t>
  </si>
  <si>
    <t>00:04:04</t>
  </si>
  <si>
    <t>00:00:39</t>
  </si>
  <si>
    <t>00:03:45</t>
  </si>
  <si>
    <t>00:00:23</t>
  </si>
  <si>
    <t>00:00:25</t>
  </si>
  <si>
    <t>00:00:28</t>
  </si>
  <si>
    <t>00:00:20</t>
  </si>
  <si>
    <t>00:01:00</t>
  </si>
  <si>
    <t>00:04:06</t>
  </si>
  <si>
    <t>00:00:06</t>
  </si>
  <si>
    <t>00:04:27</t>
  </si>
  <si>
    <t>00:07:56</t>
  </si>
  <si>
    <t>00:01:32</t>
  </si>
  <si>
    <t>00:04:08</t>
  </si>
  <si>
    <t>00:00:05</t>
  </si>
  <si>
    <t>00:04:35</t>
  </si>
  <si>
    <t>00:04:34</t>
  </si>
  <si>
    <t>00:03:50</t>
  </si>
  <si>
    <t>00:00:41</t>
  </si>
  <si>
    <t>00:00:34</t>
  </si>
  <si>
    <t>00:04:05</t>
  </si>
  <si>
    <t>00:03:57</t>
  </si>
  <si>
    <t>00:01:29</t>
  </si>
  <si>
    <t>00:00:19</t>
  </si>
  <si>
    <t>00:04:47</t>
  </si>
  <si>
    <t>00:00:08</t>
  </si>
  <si>
    <t>00:00:17</t>
  </si>
  <si>
    <t>00:00:29</t>
  </si>
  <si>
    <t>00:03:47</t>
  </si>
  <si>
    <t>00:00:18</t>
  </si>
  <si>
    <t>00:03:07</t>
  </si>
  <si>
    <t>00:01:21</t>
  </si>
  <si>
    <t>00:03:28</t>
  </si>
  <si>
    <t>00:04:29</t>
  </si>
  <si>
    <t>00:00:50</t>
  </si>
  <si>
    <t>00:04:15</t>
  </si>
  <si>
    <t>00:04:17</t>
  </si>
  <si>
    <t>00:03:33</t>
  </si>
  <si>
    <t>00:03:38</t>
  </si>
  <si>
    <t>00:03:53</t>
  </si>
  <si>
    <t>00:01:01</t>
  </si>
  <si>
    <t>00:04:14</t>
  </si>
  <si>
    <t>00:00:12</t>
  </si>
  <si>
    <t>00:05:37</t>
  </si>
  <si>
    <t>00:00:21</t>
  </si>
  <si>
    <t>00:04:11</t>
  </si>
  <si>
    <t>00:03:49</t>
  </si>
  <si>
    <t>00:00:13</t>
  </si>
  <si>
    <t>00:00:40</t>
  </si>
  <si>
    <t>00:03:55</t>
  </si>
  <si>
    <t>00:03:48</t>
  </si>
  <si>
    <t>00:03:44</t>
  </si>
  <si>
    <t>00:03:32</t>
  </si>
  <si>
    <t>00:03:27</t>
  </si>
  <si>
    <t>00:03:31</t>
  </si>
  <si>
    <t>00:04:03</t>
  </si>
  <si>
    <t>00:03:58</t>
  </si>
  <si>
    <t>00:01:03</t>
  </si>
  <si>
    <t>00:04:20</t>
  </si>
  <si>
    <t>00:04:00</t>
  </si>
  <si>
    <t>00:00:15</t>
  </si>
  <si>
    <t>00:03:46</t>
  </si>
  <si>
    <t>00:04:31</t>
  </si>
  <si>
    <t>00:00:32</t>
  </si>
  <si>
    <t>00:05:00</t>
  </si>
  <si>
    <t>00:02:17</t>
  </si>
  <si>
    <t>00:00:35</t>
  </si>
  <si>
    <t>00:01:08</t>
  </si>
  <si>
    <t>00:03:42</t>
  </si>
  <si>
    <t>00:00:49</t>
  </si>
  <si>
    <t>EMP_Name</t>
  </si>
  <si>
    <t>Total Number of woking hours</t>
  </si>
  <si>
    <t>Ashok Kumar</t>
  </si>
  <si>
    <t xml:space="preserve">Total no. of Attended Calls </t>
  </si>
  <si>
    <t>Total no. of Work Efficiency in hours</t>
  </si>
  <si>
    <t>Total Number of working hours</t>
  </si>
  <si>
    <t>EMP Names</t>
  </si>
  <si>
    <t>REPORT  3 : ATTENDS CALLS</t>
  </si>
  <si>
    <t>Sum of Total Number of woking hours</t>
  </si>
  <si>
    <t>Sum of Attended Calls</t>
  </si>
  <si>
    <t>Sum of Active With Cust.</t>
  </si>
  <si>
    <t xml:space="preserve">Sum of Work Efficiency </t>
  </si>
  <si>
    <t>Anita Dixit</t>
  </si>
  <si>
    <t>Anjali Deoram</t>
  </si>
  <si>
    <t>Abdul Hamid</t>
  </si>
  <si>
    <t>Afzal Husain</t>
  </si>
  <si>
    <t>Anamika Gupta</t>
  </si>
  <si>
    <t>Anikuttan</t>
  </si>
  <si>
    <t>Anil Kumar</t>
  </si>
  <si>
    <t>Anita Ghore</t>
  </si>
  <si>
    <t>Anjali Sahay</t>
  </si>
  <si>
    <t>Annu Latika</t>
  </si>
  <si>
    <t>Anoop Narayan</t>
  </si>
  <si>
    <t>Anoop Raj</t>
  </si>
  <si>
    <t>Anubhuti Gupta</t>
  </si>
  <si>
    <t>Arun Kumar</t>
  </si>
  <si>
    <t>Ashish Kumar</t>
  </si>
  <si>
    <t>Average oF working hours</t>
  </si>
  <si>
    <t>Count of EMP_Name</t>
  </si>
  <si>
    <t>Sum of Total Break Taken</t>
  </si>
  <si>
    <t xml:space="preserve">Average of Work Efficiency </t>
  </si>
  <si>
    <t>(All)</t>
  </si>
  <si>
    <t>Average of Active With Cust.</t>
  </si>
  <si>
    <t>Row Labels</t>
  </si>
  <si>
    <t>Highest Calls</t>
  </si>
  <si>
    <t>Best Employee</t>
  </si>
  <si>
    <t>Average Calls</t>
  </si>
  <si>
    <t>Average Break</t>
  </si>
  <si>
    <t>Average Active %</t>
  </si>
  <si>
    <t>ACTUAL CALL</t>
  </si>
  <si>
    <t xml:space="preserve"> TOTAL CALL TARGET</t>
  </si>
  <si>
    <t>Sum of  TOTAL CALL TARGET</t>
  </si>
  <si>
    <t>Sum of ACTUAL CALL</t>
  </si>
  <si>
    <t xml:space="preserve">CITY CODE </t>
  </si>
  <si>
    <t>CITY</t>
  </si>
  <si>
    <t>Mumbai</t>
  </si>
  <si>
    <t xml:space="preserve">Count of CITY CODE </t>
  </si>
  <si>
    <r>
      <t xml:space="preserve">EMPLOYEE PERFORMANCE DASHBOARD
</t>
    </r>
    <r>
      <rPr>
        <b/>
        <sz val="28"/>
        <color theme="0"/>
        <rFont val="Calibri"/>
        <family val="2"/>
        <scheme val="minor"/>
      </rPr>
      <t>Workforce Analytics | Productivity Insights | Customer Service Performance</t>
    </r>
  </si>
  <si>
    <t xml:space="preserve"> WORKING HOURS ANALYSIS</t>
  </si>
  <si>
    <t xml:space="preserve">WORK EFFICIENCY ANALYSIS </t>
  </si>
  <si>
    <t>ATTENDED CALLS ANALYSIS</t>
  </si>
  <si>
    <t>ACTIVE CUSTOMERS ANALYSIS</t>
  </si>
  <si>
    <t>Average of Active With Customers</t>
  </si>
  <si>
    <t>Count of CITY</t>
  </si>
  <si>
    <t xml:space="preserve">  ⚡WORK EFFICIENCY</t>
  </si>
  <si>
    <t xml:space="preserve">👥  ACTIVE CUSTOMERS </t>
  </si>
  <si>
    <t>🧑  Total Employees</t>
  </si>
  <si>
    <t>⏱️  WORKING HOURS</t>
  </si>
  <si>
    <t>📞   ATTENDED CALLS</t>
  </si>
  <si>
    <t>📍 CITY</t>
  </si>
  <si>
    <t>Santosh Kumar</t>
  </si>
  <si>
    <t>Sunil Kumar</t>
  </si>
  <si>
    <t>Tariq Akhlaq</t>
  </si>
  <si>
    <t>Tasneem Khan</t>
  </si>
  <si>
    <t>Manoj Kumar</t>
  </si>
  <si>
    <t>Rajesh Kumar</t>
  </si>
  <si>
    <t>Ashok Mahto</t>
  </si>
  <si>
    <t>Atul Kumar</t>
  </si>
  <si>
    <t>Azam</t>
  </si>
  <si>
    <t>Bhagwat Singh</t>
  </si>
  <si>
    <t>Bindu Nair</t>
  </si>
  <si>
    <t>Daleep Singh</t>
  </si>
  <si>
    <t>Deepak Kumar</t>
  </si>
  <si>
    <t>Deepika Nigam</t>
  </si>
  <si>
    <t>Dinesh Kumar</t>
  </si>
  <si>
    <t>Hari Kumar</t>
  </si>
  <si>
    <t>Heeramani Choudhary</t>
  </si>
  <si>
    <t>Indra Pal</t>
  </si>
  <si>
    <t>Indra Singh</t>
  </si>
  <si>
    <t>Jagdish Chandra</t>
  </si>
  <si>
    <t>Jairaj Vatham</t>
  </si>
  <si>
    <t>Janardan Mishra</t>
  </si>
  <si>
    <t>Jitendra Kumar</t>
  </si>
  <si>
    <t>John D'Costa</t>
  </si>
  <si>
    <t>Julie S</t>
  </si>
  <si>
    <t>Jyoti Tulsani</t>
  </si>
  <si>
    <t>Kahkasha Parveen</t>
  </si>
  <si>
    <t>Kailash Nath</t>
  </si>
  <si>
    <t>Kalpana Agrawal</t>
  </si>
  <si>
    <t>Kamini Kumar</t>
  </si>
  <si>
    <t>Kamini Tiwari</t>
  </si>
  <si>
    <t>Kavita Sharma</t>
  </si>
  <si>
    <t>Kiran Khubchandani</t>
  </si>
  <si>
    <t>Kisun Sah</t>
  </si>
  <si>
    <t>Krishana Kumar</t>
  </si>
  <si>
    <t>Kunj Bihari</t>
  </si>
  <si>
    <t>Leena George</t>
  </si>
  <si>
    <t>Lilly Lucy</t>
  </si>
  <si>
    <t>Mangal Singh</t>
  </si>
  <si>
    <t>Manisha Shrivastava</t>
  </si>
  <si>
    <t>Manjusha Sinha</t>
  </si>
  <si>
    <t>ManjuTiwari Lab</t>
  </si>
  <si>
    <t>Masroor Adil</t>
  </si>
  <si>
    <t>Meena Zinjare</t>
  </si>
  <si>
    <t>Mehnaz Khan</t>
  </si>
  <si>
    <t>Mercy Thampi</t>
  </si>
  <si>
    <t>Miny Mole</t>
  </si>
  <si>
    <t>Mohd Rafi</t>
  </si>
  <si>
    <t>Mubeen Khan</t>
  </si>
  <si>
    <t>Mukesh Nagar</t>
  </si>
  <si>
    <t>Nandu Kumar</t>
  </si>
  <si>
    <t>Narayan Singh</t>
  </si>
  <si>
    <t>Neeraj Saxena</t>
  </si>
  <si>
    <t>Neeru Mehta</t>
  </si>
  <si>
    <t>Nikita Panwalkar</t>
  </si>
  <si>
    <t>Nitin Bhatia</t>
  </si>
  <si>
    <t>Om Prakash</t>
  </si>
  <si>
    <t>Omprakash O</t>
  </si>
  <si>
    <t>Owais Mohd</t>
  </si>
  <si>
    <t>Pankaj Shelkey</t>
  </si>
  <si>
    <t>Partha Sarathi</t>
  </si>
  <si>
    <t>Prabha Desikan</t>
  </si>
  <si>
    <t>Pramod Tiwari</t>
  </si>
  <si>
    <t>Prasannakumari S</t>
  </si>
  <si>
    <t>Praveen Kumar</t>
  </si>
  <si>
    <t>Rachel Mathew</t>
  </si>
  <si>
    <t>Rachita Anupam</t>
  </si>
  <si>
    <t>Rachna Chauhan</t>
  </si>
  <si>
    <t>Raj Kumar</t>
  </si>
  <si>
    <t>Rajeev Garg</t>
  </si>
  <si>
    <t>Rajeev Kumar</t>
  </si>
  <si>
    <t>Rajendra Gupta</t>
  </si>
  <si>
    <t>Rajendra Kumar</t>
  </si>
  <si>
    <t>Rajendra Prasad</t>
  </si>
  <si>
    <t>Rajesh Sharma</t>
  </si>
  <si>
    <t>Raji Abraham</t>
  </si>
  <si>
    <t>Rajshree Dhabekar</t>
  </si>
  <si>
    <t>Rakhi Jodhani</t>
  </si>
  <si>
    <t>Ramji Prasad</t>
  </si>
  <si>
    <t>Rashid</t>
  </si>
  <si>
    <t>Rashmi Gajbe</t>
  </si>
  <si>
    <t>Ravi Kumar</t>
  </si>
  <si>
    <t>Ravinder Kaur</t>
  </si>
  <si>
    <t>Rekha Agarwal</t>
  </si>
  <si>
    <t>Rekha Gupta</t>
  </si>
  <si>
    <t xml:space="preserve">Rekha Jain </t>
  </si>
  <si>
    <t>Renu Pratap</t>
  </si>
  <si>
    <t>Ritu Bhatnagar</t>
  </si>
  <si>
    <t>Rohit Nishchal</t>
  </si>
  <si>
    <t>Roli Bhatnagar</t>
  </si>
  <si>
    <t>Roma Rastogi</t>
  </si>
  <si>
    <t>Roohi Haider</t>
  </si>
  <si>
    <t>Sajid Naqvi</t>
  </si>
  <si>
    <t>Salim</t>
  </si>
  <si>
    <t>Sanjay Hire</t>
  </si>
  <si>
    <t>Sanjiv Subherwal</t>
  </si>
  <si>
    <t>Sanju Ramdas</t>
  </si>
  <si>
    <t>Sapna Sharma</t>
  </si>
  <si>
    <t>Saroj Parita</t>
  </si>
  <si>
    <t>Shailaja Kamal</t>
  </si>
  <si>
    <t>Shailendra Barge</t>
  </si>
  <si>
    <t>Shankar Attendant</t>
  </si>
  <si>
    <t>Shashikant Tiwari</t>
  </si>
  <si>
    <t>Sheeba Joseph</t>
  </si>
  <si>
    <t>Sheena Joseph</t>
  </si>
  <si>
    <t>Shephali Jain</t>
  </si>
  <si>
    <t>Shivji Prasad</t>
  </si>
  <si>
    <t>Shubhanjali Joshi</t>
  </si>
  <si>
    <t>Shyamal Malakar</t>
  </si>
  <si>
    <t>Sneh Khan</t>
  </si>
  <si>
    <t>Sonaram Munda</t>
  </si>
  <si>
    <t>Sudama Kumar</t>
  </si>
  <si>
    <t>Sudhir Kumar</t>
  </si>
  <si>
    <t>Sunita Chawla</t>
  </si>
  <si>
    <t>Sunita Madnani</t>
  </si>
  <si>
    <t>Surendra Kumar</t>
  </si>
  <si>
    <t>Surendranath Thakur</t>
  </si>
  <si>
    <t>Sushma Khandelwal</t>
  </si>
  <si>
    <t>Swarnlata Borse</t>
  </si>
  <si>
    <t>Syed Naved</t>
  </si>
  <si>
    <t>Syed Saqib</t>
  </si>
  <si>
    <t>Syed Sohail</t>
  </si>
  <si>
    <t>System Operator</t>
  </si>
  <si>
    <t>Tahira Qureshi</t>
  </si>
  <si>
    <t>Tapas Chakraborty</t>
  </si>
  <si>
    <t>Delhi</t>
  </si>
  <si>
    <t>Hyderabad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</si>
</sst>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 &quot;₹&quot;\ * #,##0.00_ ;_ &quot;₹&quot;\ * \-#,##0.00_ ;_ &quot;₹&quot;\ * &quot;-&quot;??_ ;_ @_ "/>
    <numFmt numFmtId="164" formatCode="#,##0.00%"/>
    <numFmt numFmtId="165" formatCode="[$-F400]h:mm:ss\ AM/PM"/>
    <numFmt numFmtId="166" formatCode="hh"/>
    <numFmt numFmtId="167" formatCode="0.0"/>
  </numFmts>
  <fonts count="20" x14ac:knownFonts="1">
    <font>
      <sz val="11"/>
      <color theme="1"/>
      <name val="Calibri"/>
      <family val="2"/>
      <scheme val="minor"/>
    </font>
    <font>
      <b/>
      <sz val="10"/>
      <color rgb="FF000000"/>
      <name val="Tahoma"/>
      <family val="2"/>
    </font>
    <font>
      <sz val="10"/>
      <color theme="1"/>
      <name val="Calibri"/>
      <family val="2"/>
      <scheme val="minor"/>
    </font>
    <font>
      <sz val="10"/>
      <color rgb="FF000000"/>
      <name val="Tahoma"/>
      <family val="2"/>
    </font>
    <font>
      <sz val="11"/>
      <color theme="1"/>
      <name val="Calibri"/>
      <family val="2"/>
      <scheme val="minor"/>
    </font>
    <font>
      <sz val="11"/>
      <color theme="0"/>
      <name val="Calibri"/>
      <family val="2"/>
      <scheme val="minor"/>
    </font>
    <font>
      <sz val="11"/>
      <color rgb="FFFF0000"/>
      <name val="Calibri"/>
      <family val="2"/>
      <scheme val="minor"/>
    </font>
    <font>
      <sz val="30"/>
      <color theme="1"/>
      <name val="Calibri"/>
      <family val="2"/>
      <scheme val="minor"/>
    </font>
    <font>
      <b/>
      <sz val="30"/>
      <color theme="0"/>
      <name val="Calibri"/>
      <family val="2"/>
      <scheme val="minor"/>
    </font>
    <font>
      <b/>
      <sz val="48"/>
      <color theme="0"/>
      <name val="Calibri"/>
      <family val="2"/>
      <scheme val="minor"/>
    </font>
    <font>
      <sz val="48"/>
      <color theme="0"/>
      <name val="Calibri"/>
      <family val="2"/>
      <scheme val="minor"/>
    </font>
    <font>
      <b/>
      <sz val="11"/>
      <color theme="0"/>
      <name val="Calibri"/>
      <family val="2"/>
      <scheme val="minor"/>
    </font>
    <font>
      <b/>
      <sz val="11"/>
      <color theme="1"/>
      <name val="Calibri"/>
      <family val="2"/>
      <scheme val="minor"/>
    </font>
    <font>
      <b/>
      <sz val="30"/>
      <color theme="1"/>
      <name val="Calibri"/>
      <family val="2"/>
      <scheme val="minor"/>
    </font>
    <font>
      <b/>
      <sz val="30"/>
      <color rgb="FFFFC000"/>
      <name val="Calibri"/>
      <family val="2"/>
      <scheme val="minor"/>
    </font>
    <font>
      <b/>
      <sz val="36"/>
      <color theme="0"/>
      <name val="Calibri"/>
      <family val="2"/>
      <scheme val="minor"/>
    </font>
    <font>
      <b/>
      <sz val="28"/>
      <color theme="0"/>
      <name val="Calibri"/>
      <family val="2"/>
      <scheme val="minor"/>
    </font>
    <font>
      <b/>
      <sz val="10"/>
      <color theme="1"/>
      <name val="Calibri"/>
      <family val="2"/>
      <scheme val="minor"/>
    </font>
    <font>
      <b/>
      <sz val="20"/>
      <color theme="0"/>
      <name val="Calibri"/>
      <family val="2"/>
      <scheme val="minor"/>
    </font>
    <font>
      <sz val="10"/>
      <color theme="0"/>
      <name val="Arial Unicode MS"/>
      <family val="2"/>
    </font>
  </fonts>
  <fills count="9">
    <fill>
      <patternFill patternType="none"/>
    </fill>
    <fill>
      <patternFill patternType="gray125"/>
    </fill>
    <fill>
      <patternFill patternType="solid">
        <fgColor theme="9" tint="0.39997558519241921"/>
        <bgColor indexed="64"/>
      </patternFill>
    </fill>
    <fill>
      <patternFill patternType="solid">
        <fgColor theme="9"/>
        <bgColor indexed="64"/>
      </patternFill>
    </fill>
    <fill>
      <patternFill patternType="solid">
        <fgColor theme="4" tint="-0.49998474074526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0"/>
        <bgColor indexed="64"/>
      </patternFill>
    </fill>
  </fills>
  <borders count="3">
    <border>
      <left/>
      <right/>
      <top/>
      <bottom/>
      <diagonal/>
    </border>
    <border>
      <left style="thin">
        <color rgb="FF608BB4"/>
      </left>
      <right style="thin">
        <color rgb="FF608BB4"/>
      </right>
      <top style="thin">
        <color rgb="FF608BB4"/>
      </top>
      <bottom style="thin">
        <color rgb="FF608BB4"/>
      </bottom>
      <diagonal/>
    </border>
    <border>
      <left style="thin">
        <color rgb="FFCCCCCC"/>
      </left>
      <right style="thin">
        <color rgb="FFCCCCCC"/>
      </right>
      <top style="thin">
        <color rgb="FFCCCCCC"/>
      </top>
      <bottom style="thin">
        <color rgb="FFCCCCCC"/>
      </bottom>
      <diagonal/>
    </border>
  </borders>
  <cellStyleXfs count="3">
    <xf numFmtId="0" fontId="0" fillId="0" borderId="0"/>
    <xf numFmtId="9" fontId="4" fillId="0" borderId="0" applyFont="0" applyFill="0" applyBorder="0" applyAlignment="0" applyProtection="0"/>
    <xf numFmtId="44" fontId="4" fillId="0" borderId="0" applyFont="0" applyFill="0" applyBorder="0" applyAlignment="0" applyProtection="0"/>
  </cellStyleXfs>
  <cellXfs count="82">
    <xf numFmtId="0" fontId="0" fillId="0" borderId="0" xfId="0"/>
    <xf numFmtId="49" fontId="1" fillId="2" borderId="1" xfId="0" applyNumberFormat="1" applyFont="1" applyFill="1" applyBorder="1" applyAlignment="1">
      <alignment horizontal="center" vertical="top"/>
    </xf>
    <xf numFmtId="0" fontId="2" fillId="0" borderId="0" xfId="0" applyFont="1"/>
    <xf numFmtId="49" fontId="3" fillId="0" borderId="2" xfId="0" applyNumberFormat="1" applyFont="1" applyBorder="1" applyAlignment="1">
      <alignment horizontal="right" vertical="top" wrapText="1"/>
    </xf>
    <xf numFmtId="49" fontId="1" fillId="2" borderId="1" xfId="0" applyNumberFormat="1" applyFont="1" applyFill="1" applyBorder="1" applyAlignment="1">
      <alignment horizontal="center" vertical="top" wrapText="1"/>
    </xf>
    <xf numFmtId="3" fontId="3" fillId="0" borderId="2" xfId="0" applyNumberFormat="1" applyFont="1" applyBorder="1" applyAlignment="1">
      <alignment horizontal="right" vertical="top" wrapText="1"/>
    </xf>
    <xf numFmtId="164" fontId="3" fillId="0" borderId="2" xfId="0" applyNumberFormat="1" applyFont="1" applyBorder="1" applyAlignment="1">
      <alignment horizontal="right" vertical="top" wrapText="1"/>
    </xf>
    <xf numFmtId="49" fontId="0" fillId="3" borderId="0" xfId="0" applyNumberFormat="1" applyFill="1" applyAlignment="1">
      <alignment horizontal="center" vertical="center"/>
    </xf>
    <xf numFmtId="0" fontId="0" fillId="3" borderId="0" xfId="0" applyFill="1" applyAlignment="1">
      <alignment horizontal="center" vertical="center"/>
    </xf>
    <xf numFmtId="165" fontId="0" fillId="3" borderId="0" xfId="0" applyNumberFormat="1" applyFill="1" applyAlignment="1">
      <alignment horizontal="center" vertical="center"/>
    </xf>
    <xf numFmtId="165" fontId="0" fillId="0" borderId="0" xfId="0" applyNumberFormat="1"/>
    <xf numFmtId="9" fontId="0" fillId="3" borderId="0" xfId="1" applyFont="1" applyFill="1" applyAlignment="1">
      <alignment horizontal="center" vertical="center"/>
    </xf>
    <xf numFmtId="9" fontId="0" fillId="0" borderId="0" xfId="1" applyFont="1"/>
    <xf numFmtId="0" fontId="0" fillId="0" borderId="0" xfId="0" pivotButton="1"/>
    <xf numFmtId="0" fontId="0" fillId="0" borderId="0" xfId="0" applyAlignment="1">
      <alignment horizontal="left"/>
    </xf>
    <xf numFmtId="1" fontId="8" fillId="3" borderId="0" xfId="0" applyNumberFormat="1" applyFont="1" applyFill="1" applyAlignment="1">
      <alignment vertical="center"/>
    </xf>
    <xf numFmtId="1" fontId="10" fillId="3" borderId="0" xfId="0" applyNumberFormat="1" applyFont="1" applyFill="1" applyAlignment="1">
      <alignment vertical="center"/>
    </xf>
    <xf numFmtId="167" fontId="0" fillId="0" borderId="0" xfId="0" applyNumberFormat="1"/>
    <xf numFmtId="0" fontId="0" fillId="4" borderId="0" xfId="0" applyFill="1"/>
    <xf numFmtId="0" fontId="13" fillId="4" borderId="0" xfId="0" applyFont="1" applyFill="1" applyAlignment="1">
      <alignment horizontal="center" vertical="center"/>
    </xf>
    <xf numFmtId="0" fontId="0" fillId="4" borderId="0" xfId="0" applyFill="1" applyAlignment="1">
      <alignment horizontal="center" vertical="center"/>
    </xf>
    <xf numFmtId="0" fontId="0" fillId="8" borderId="0" xfId="0" applyFill="1"/>
    <xf numFmtId="0" fontId="5" fillId="8" borderId="0" xfId="0" applyFont="1" applyFill="1" applyAlignment="1">
      <alignment horizontal="center" vertical="center"/>
    </xf>
    <xf numFmtId="0" fontId="5" fillId="8" borderId="0" xfId="0" applyFont="1" applyFill="1"/>
    <xf numFmtId="0" fontId="0" fillId="8" borderId="0" xfId="0" applyFill="1" applyAlignment="1">
      <alignment horizontal="center" vertical="center"/>
    </xf>
    <xf numFmtId="0" fontId="0" fillId="5" borderId="0" xfId="0" applyFill="1"/>
    <xf numFmtId="0" fontId="12" fillId="0" borderId="0" xfId="0" applyFont="1" applyAlignment="1">
      <alignment horizontal="left"/>
    </xf>
    <xf numFmtId="0" fontId="17" fillId="0" borderId="0" xfId="0" applyFont="1" applyAlignment="1">
      <alignment horizontal="left"/>
    </xf>
    <xf numFmtId="165" fontId="17" fillId="0" borderId="0" xfId="0" applyNumberFormat="1" applyFont="1"/>
    <xf numFmtId="9" fontId="17" fillId="0" borderId="0" xfId="0" applyNumberFormat="1" applyFont="1"/>
    <xf numFmtId="0" fontId="0" fillId="5" borderId="0" xfId="0" applyFill="1" applyAlignment="1">
      <alignment vertical="center"/>
    </xf>
    <xf numFmtId="0" fontId="8" fillId="5" borderId="0" xfId="0" applyFont="1" applyFill="1" applyAlignment="1">
      <alignment horizontal="center" vertical="center"/>
    </xf>
    <xf numFmtId="0" fontId="5" fillId="5" borderId="0" xfId="0" applyFont="1" applyFill="1" applyAlignment="1">
      <alignment horizontal="center" vertical="center"/>
    </xf>
    <xf numFmtId="0" fontId="17" fillId="5" borderId="0" xfId="0" applyFont="1" applyFill="1"/>
    <xf numFmtId="0" fontId="7" fillId="5" borderId="0" xfId="0" applyFont="1" applyFill="1"/>
    <xf numFmtId="0" fontId="0" fillId="5" borderId="0" xfId="0" applyFill="1" applyAlignment="1">
      <alignment horizontal="center" vertical="center"/>
    </xf>
    <xf numFmtId="0" fontId="8" fillId="5" borderId="0" xfId="0" applyFont="1" applyFill="1" applyAlignment="1">
      <alignment vertical="center"/>
    </xf>
    <xf numFmtId="0" fontId="14" fillId="5" borderId="0" xfId="0" applyFont="1" applyFill="1" applyAlignment="1">
      <alignment horizontal="center" vertical="center"/>
    </xf>
    <xf numFmtId="0" fontId="11" fillId="5" borderId="0" xfId="0" applyFont="1" applyFill="1"/>
    <xf numFmtId="1" fontId="10" fillId="5" borderId="0" xfId="0" applyNumberFormat="1" applyFont="1" applyFill="1" applyAlignment="1">
      <alignment vertical="center"/>
    </xf>
    <xf numFmtId="46" fontId="12" fillId="0" borderId="0" xfId="0" applyNumberFormat="1" applyFont="1"/>
    <xf numFmtId="0" fontId="9" fillId="5" borderId="0" xfId="0" applyFont="1" applyFill="1" applyAlignment="1">
      <alignment horizontal="center" vertical="center"/>
    </xf>
    <xf numFmtId="0" fontId="10" fillId="5" borderId="0" xfId="0" applyFont="1" applyFill="1" applyAlignment="1">
      <alignment horizontal="center" vertical="center"/>
    </xf>
    <xf numFmtId="0" fontId="8" fillId="7" borderId="0" xfId="0" applyFont="1" applyFill="1" applyAlignment="1">
      <alignment horizontal="center" vertical="center"/>
    </xf>
    <xf numFmtId="0" fontId="9" fillId="7" borderId="0" xfId="0" applyFont="1" applyFill="1" applyAlignment="1">
      <alignment horizontal="center" vertical="center"/>
    </xf>
    <xf numFmtId="0" fontId="10" fillId="7" borderId="0" xfId="0" applyFont="1" applyFill="1" applyAlignment="1">
      <alignment horizontal="center" vertical="center"/>
    </xf>
    <xf numFmtId="0" fontId="0" fillId="7" borderId="0" xfId="0" applyFill="1" applyAlignment="1">
      <alignment horizontal="center" vertical="center"/>
    </xf>
    <xf numFmtId="1" fontId="9" fillId="5" borderId="0" xfId="2" applyNumberFormat="1" applyFont="1" applyFill="1" applyAlignment="1">
      <alignment horizontal="center" vertical="center"/>
    </xf>
    <xf numFmtId="0" fontId="0" fillId="4" borderId="0" xfId="0" applyFill="1"/>
    <xf numFmtId="21" fontId="9" fillId="5" borderId="0" xfId="0" applyNumberFormat="1" applyFont="1" applyFill="1" applyAlignment="1">
      <alignment horizontal="center" vertical="center"/>
    </xf>
    <xf numFmtId="21" fontId="8" fillId="7" borderId="0" xfId="0" applyNumberFormat="1" applyFont="1" applyFill="1" applyAlignment="1">
      <alignment horizontal="center" vertical="center"/>
    </xf>
    <xf numFmtId="21" fontId="9" fillId="5" borderId="0" xfId="1" applyNumberFormat="1" applyFont="1" applyFill="1" applyAlignment="1">
      <alignment horizontal="center" vertical="center"/>
    </xf>
    <xf numFmtId="9" fontId="9" fillId="5" borderId="0" xfId="1" applyFont="1" applyFill="1" applyAlignment="1">
      <alignment horizontal="center" vertical="center"/>
    </xf>
    <xf numFmtId="21" fontId="8" fillId="7" borderId="0" xfId="1" applyNumberFormat="1" applyFont="1" applyFill="1" applyAlignment="1">
      <alignment horizontal="center" vertical="center"/>
    </xf>
    <xf numFmtId="21" fontId="11" fillId="7" borderId="0" xfId="1" applyNumberFormat="1" applyFont="1" applyFill="1" applyAlignment="1">
      <alignment horizontal="center" vertical="center"/>
    </xf>
    <xf numFmtId="0" fontId="15" fillId="4" borderId="0" xfId="0" applyFont="1" applyFill="1" applyAlignment="1">
      <alignment horizontal="center" vertical="top" wrapText="1"/>
    </xf>
    <xf numFmtId="0" fontId="6" fillId="4" borderId="0" xfId="0" applyFont="1" applyFill="1" applyAlignment="1">
      <alignment horizontal="center" vertical="top"/>
    </xf>
    <xf numFmtId="0" fontId="0" fillId="5" borderId="0" xfId="0" applyFill="1"/>
    <xf numFmtId="0" fontId="18" fillId="6" borderId="0" xfId="0" applyFont="1" applyFill="1" applyAlignment="1">
      <alignment horizontal="center" vertical="center"/>
    </xf>
    <xf numFmtId="0" fontId="0" fillId="6" borderId="0" xfId="0" applyFill="1" applyAlignment="1">
      <alignment horizontal="center" vertical="center"/>
    </xf>
    <xf numFmtId="0" fontId="18" fillId="6" borderId="0" xfId="0" applyFont="1" applyFill="1" applyAlignment="1">
      <alignment horizontal="center"/>
    </xf>
    <xf numFmtId="0" fontId="0" fillId="6" borderId="0" xfId="0" applyFill="1" applyAlignment="1">
      <alignment horizontal="center"/>
    </xf>
    <xf numFmtId="0" fontId="17" fillId="0" borderId="0" xfId="0" applyNumberFormat="1" applyFont="1"/>
    <xf numFmtId="46" fontId="17" fillId="0" borderId="0" xfId="0" applyNumberFormat="1" applyFont="1"/>
    <xf numFmtId="0" fontId="5" fillId="8" borderId="0" xfId="0" applyFont="1" applyFill="1" applyAlignment="1">
      <alignment horizontal="left"/>
    </xf>
    <xf numFmtId="21" fontId="5" fillId="8" borderId="0" xfId="0" applyNumberFormat="1" applyFont="1" applyFill="1"/>
    <xf numFmtId="0" fontId="5" fillId="8" borderId="0" xfId="0" applyNumberFormat="1" applyFont="1" applyFill="1"/>
    <xf numFmtId="9" fontId="5" fillId="8" borderId="0" xfId="0" applyNumberFormat="1" applyFont="1" applyFill="1"/>
    <xf numFmtId="166" fontId="5" fillId="8" borderId="0" xfId="0" applyNumberFormat="1" applyFont="1" applyFill="1"/>
    <xf numFmtId="0" fontId="5" fillId="0" borderId="0" xfId="0" applyFont="1"/>
    <xf numFmtId="165" fontId="5" fillId="0" borderId="0" xfId="0" applyNumberFormat="1" applyFont="1"/>
    <xf numFmtId="9" fontId="5" fillId="0" borderId="0" xfId="0" applyNumberFormat="1" applyFont="1"/>
    <xf numFmtId="0" fontId="5" fillId="0" borderId="0" xfId="0" pivotButton="1" applyFont="1"/>
    <xf numFmtId="0" fontId="5" fillId="0" borderId="0" xfId="0" applyFont="1" applyAlignment="1">
      <alignment horizontal="left"/>
    </xf>
    <xf numFmtId="0" fontId="5" fillId="0" borderId="0" xfId="0" applyNumberFormat="1" applyFont="1"/>
    <xf numFmtId="0" fontId="11" fillId="0" borderId="0" xfId="0" applyFont="1" applyAlignment="1">
      <alignment horizontal="center" vertical="center" wrapText="1"/>
    </xf>
    <xf numFmtId="0" fontId="5" fillId="0" borderId="0" xfId="0" applyFont="1" applyAlignment="1">
      <alignment vertical="center" wrapText="1"/>
    </xf>
    <xf numFmtId="0" fontId="19" fillId="0" borderId="0" xfId="0" applyFont="1" applyAlignment="1">
      <alignment vertical="center" wrapText="1"/>
    </xf>
    <xf numFmtId="1" fontId="19" fillId="0" borderId="0" xfId="0" applyNumberFormat="1" applyFont="1" applyAlignment="1">
      <alignment vertical="center" wrapText="1"/>
    </xf>
    <xf numFmtId="165" fontId="19" fillId="0" borderId="0" xfId="0" applyNumberFormat="1" applyFont="1" applyAlignment="1">
      <alignment vertical="center" wrapText="1"/>
    </xf>
    <xf numFmtId="10" fontId="19" fillId="0" borderId="0" xfId="0" applyNumberFormat="1" applyFont="1" applyAlignment="1">
      <alignment vertical="center" wrapText="1"/>
    </xf>
    <xf numFmtId="0" fontId="5" fillId="0" borderId="0" xfId="0" applyFont="1" applyAlignment="1">
      <alignment wrapText="1"/>
    </xf>
  </cellXfs>
  <cellStyles count="3">
    <cellStyle name="Currency" xfId="2" builtinId="4"/>
    <cellStyle name="Normal" xfId="0" builtinId="0"/>
    <cellStyle name="Percent" xfId="1" builtinId="5"/>
  </cellStyles>
  <dxfs count="1459">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sz val="10"/>
      </font>
    </dxf>
    <dxf>
      <font>
        <b/>
      </font>
    </dxf>
    <dxf>
      <numFmt numFmtId="31" formatCode="[h]:mm:ss"/>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z val="10"/>
      </font>
    </dxf>
    <dxf>
      <font>
        <b/>
      </font>
    </dxf>
    <dxf>
      <font>
        <b/>
      </font>
    </dxf>
    <dxf>
      <font>
        <b/>
      </font>
    </dxf>
    <dxf>
      <font>
        <sz val="10"/>
      </font>
    </dxf>
    <dxf>
      <font>
        <sz val="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sz val="10"/>
      </font>
    </dxf>
    <dxf>
      <font>
        <b/>
      </font>
    </dxf>
    <dxf>
      <numFmt numFmtId="31" formatCode="[h]:mm:ss"/>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z val="10"/>
      </font>
    </dxf>
    <dxf>
      <font>
        <b/>
      </font>
    </dxf>
    <dxf>
      <font>
        <b/>
      </font>
    </dxf>
    <dxf>
      <font>
        <b/>
      </font>
    </dxf>
    <dxf>
      <font>
        <sz val="10"/>
      </font>
    </dxf>
    <dxf>
      <font>
        <sz val="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sz val="10"/>
      </font>
    </dxf>
    <dxf>
      <font>
        <b/>
      </font>
    </dxf>
    <dxf>
      <numFmt numFmtId="31" formatCode="[h]:mm:ss"/>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z val="10"/>
      </font>
    </dxf>
    <dxf>
      <font>
        <b/>
      </font>
    </dxf>
    <dxf>
      <font>
        <b/>
      </font>
    </dxf>
    <dxf>
      <font>
        <b/>
      </font>
    </dxf>
    <dxf>
      <font>
        <sz val="10"/>
      </font>
    </dxf>
    <dxf>
      <font>
        <sz val="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sz val="10"/>
      </font>
    </dxf>
    <dxf>
      <font>
        <b/>
      </font>
    </dxf>
    <dxf>
      <numFmt numFmtId="31" formatCode="[h]:mm:ss"/>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z val="10"/>
      </font>
    </dxf>
    <dxf>
      <font>
        <b/>
      </font>
    </dxf>
    <dxf>
      <font>
        <b/>
      </font>
    </dxf>
    <dxf>
      <font>
        <b/>
      </font>
    </dxf>
    <dxf>
      <font>
        <sz val="10"/>
      </font>
    </dxf>
    <dxf>
      <font>
        <sz val="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sz val="10"/>
      </font>
    </dxf>
    <dxf>
      <font>
        <b/>
      </font>
    </dxf>
    <dxf>
      <numFmt numFmtId="31" formatCode="[h]:mm:ss"/>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z val="10"/>
      </font>
    </dxf>
    <dxf>
      <font>
        <b/>
      </font>
    </dxf>
    <dxf>
      <font>
        <b/>
      </font>
    </dxf>
    <dxf>
      <font>
        <b/>
      </font>
    </dxf>
    <dxf>
      <font>
        <sz val="10"/>
      </font>
    </dxf>
    <dxf>
      <font>
        <sz val="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b/>
      </font>
    </dxf>
    <dxf>
      <font>
        <b/>
      </font>
    </dxf>
    <dxf>
      <font>
        <sz val="10"/>
      </font>
    </dxf>
    <dxf>
      <font>
        <sz val="10"/>
      </font>
    </dxf>
    <dxf>
      <font>
        <sz val="10"/>
      </font>
    </dxf>
    <dxf>
      <font>
        <b/>
      </font>
    </dxf>
    <dxf>
      <numFmt numFmtId="31" formatCode="[h]:mm:ss"/>
    </dxf>
    <dxf>
      <font>
        <sz val="10"/>
      </font>
    </dxf>
    <dxf>
      <font>
        <b/>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b/>
      </font>
    </dxf>
    <dxf>
      <font>
        <b/>
      </font>
    </dxf>
    <dxf>
      <font>
        <sz val="10"/>
      </font>
    </dxf>
    <dxf>
      <font>
        <sz val="10"/>
      </font>
    </dxf>
    <dxf>
      <font>
        <sz val="10"/>
      </font>
    </dxf>
    <dxf>
      <font>
        <b/>
      </font>
    </dxf>
    <dxf>
      <numFmt numFmtId="31" formatCode="[h]:mm:ss"/>
    </dxf>
    <dxf>
      <font>
        <sz val="10"/>
      </font>
    </dxf>
    <dxf>
      <font>
        <b/>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b/>
      </font>
    </dxf>
    <dxf>
      <font>
        <b/>
      </font>
    </dxf>
    <dxf>
      <font>
        <sz val="10"/>
      </font>
    </dxf>
    <dxf>
      <font>
        <sz val="10"/>
      </font>
    </dxf>
    <dxf>
      <font>
        <sz val="10"/>
      </font>
    </dxf>
    <dxf>
      <font>
        <b/>
      </font>
    </dxf>
    <dxf>
      <numFmt numFmtId="31" formatCode="[h]:mm:ss"/>
    </dxf>
    <dxf>
      <font>
        <sz val="10"/>
      </font>
    </dxf>
    <dxf>
      <font>
        <b/>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b/>
      </font>
    </dxf>
    <dxf>
      <font>
        <b/>
      </font>
    </dxf>
    <dxf>
      <font>
        <sz val="10"/>
      </font>
    </dxf>
    <dxf>
      <font>
        <sz val="10"/>
      </font>
    </dxf>
    <dxf>
      <font>
        <sz val="10"/>
      </font>
    </dxf>
    <dxf>
      <font>
        <b/>
      </font>
    </dxf>
    <dxf>
      <numFmt numFmtId="31" formatCode="[h]:mm:ss"/>
    </dxf>
    <dxf>
      <font>
        <sz val="10"/>
      </font>
    </dxf>
    <dxf>
      <font>
        <b/>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b/>
      </font>
    </dxf>
    <dxf>
      <font>
        <b/>
      </font>
    </dxf>
    <dxf>
      <font>
        <sz val="10"/>
      </font>
    </dxf>
    <dxf>
      <font>
        <sz val="10"/>
      </font>
    </dxf>
    <dxf>
      <font>
        <sz val="10"/>
      </font>
    </dxf>
    <dxf>
      <font>
        <b/>
      </font>
    </dxf>
    <dxf>
      <numFmt numFmtId="31" formatCode="[h]:mm:ss"/>
    </dxf>
    <dxf>
      <font>
        <sz val="10"/>
      </font>
    </dxf>
    <dxf>
      <font>
        <b/>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font>
    </dxf>
    <dxf>
      <font>
        <b/>
      </font>
    </dxf>
    <dxf>
      <font>
        <sz val="10"/>
      </font>
    </dxf>
    <dxf>
      <font>
        <sz val="10"/>
      </font>
    </dxf>
    <dxf>
      <font>
        <sz val="10"/>
      </font>
    </dxf>
    <dxf>
      <font>
        <b/>
      </font>
    </dxf>
    <dxf>
      <numFmt numFmtId="31" formatCode="[h]:mm:ss"/>
    </dxf>
    <dxf>
      <font>
        <sz val="10"/>
      </font>
    </dxf>
    <dxf>
      <font>
        <b/>
      </font>
    </dxf>
    <dxf>
      <numFmt numFmtId="167" formatCode="0.0"/>
    </dxf>
    <dxf>
      <numFmt numFmtId="13" formatCode="0%"/>
    </dxf>
    <dxf>
      <font>
        <b/>
      </font>
    </dxf>
    <dxf>
      <font>
        <b/>
      </font>
    </dxf>
    <dxf>
      <font>
        <sz val="10"/>
      </font>
    </dxf>
    <dxf>
      <font>
        <sz val="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font>
    </dxf>
    <dxf>
      <font>
        <b/>
      </font>
    </dxf>
    <dxf>
      <font>
        <sz val="10"/>
      </font>
    </dxf>
    <dxf>
      <font>
        <sz val="10"/>
      </font>
    </dxf>
    <dxf>
      <font>
        <sz val="10"/>
      </font>
    </dxf>
    <dxf>
      <font>
        <b/>
      </font>
    </dxf>
    <dxf>
      <numFmt numFmtId="31" formatCode="[h]:mm:ss"/>
    </dxf>
    <dxf>
      <font>
        <sz val="10"/>
      </font>
    </dxf>
    <dxf>
      <font>
        <b/>
      </font>
    </dxf>
    <dxf>
      <numFmt numFmtId="167" formatCode="0.0"/>
    </dxf>
    <dxf>
      <numFmt numFmtId="13" formatCode="0%"/>
    </dxf>
    <dxf>
      <font>
        <b/>
      </font>
    </dxf>
    <dxf>
      <font>
        <b/>
      </font>
    </dxf>
    <dxf>
      <font>
        <sz val="10"/>
      </font>
    </dxf>
    <dxf>
      <font>
        <sz val="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font>
    </dxf>
    <dxf>
      <font>
        <b/>
      </font>
    </dxf>
    <dxf>
      <font>
        <sz val="10"/>
      </font>
    </dxf>
    <dxf>
      <font>
        <sz val="10"/>
      </font>
    </dxf>
    <dxf>
      <font>
        <sz val="10"/>
      </font>
    </dxf>
    <dxf>
      <font>
        <b/>
      </font>
    </dxf>
    <dxf>
      <numFmt numFmtId="31" formatCode="[h]:mm:ss"/>
    </dxf>
    <dxf>
      <font>
        <sz val="10"/>
      </font>
    </dxf>
    <dxf>
      <font>
        <b/>
      </font>
    </dxf>
    <dxf>
      <numFmt numFmtId="167" formatCode="0.0"/>
    </dxf>
    <dxf>
      <numFmt numFmtId="13" formatCode="0%"/>
    </dxf>
    <dxf>
      <font>
        <b/>
      </font>
    </dxf>
    <dxf>
      <font>
        <b/>
      </font>
    </dxf>
    <dxf>
      <font>
        <sz val="10"/>
      </font>
    </dxf>
    <dxf>
      <font>
        <sz val="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b/>
      </font>
    </dxf>
    <dxf>
      <font>
        <b/>
      </font>
    </dxf>
    <dxf>
      <font>
        <sz val="10"/>
      </font>
    </dxf>
    <dxf>
      <font>
        <sz val="10"/>
      </font>
    </dxf>
    <dxf>
      <font>
        <sz val="10"/>
      </font>
    </dxf>
    <dxf>
      <font>
        <b/>
      </font>
    </dxf>
    <dxf>
      <numFmt numFmtId="31" formatCode="[h]:mm:ss"/>
    </dxf>
    <dxf>
      <font>
        <sz val="10"/>
      </font>
    </dxf>
    <dxf>
      <font>
        <b/>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b/>
      </font>
    </dxf>
    <dxf>
      <font>
        <b/>
      </font>
    </dxf>
    <dxf>
      <font>
        <sz val="10"/>
      </font>
    </dxf>
    <dxf>
      <font>
        <sz val="10"/>
      </font>
    </dxf>
    <dxf>
      <font>
        <sz val="10"/>
      </font>
    </dxf>
    <dxf>
      <font>
        <b/>
      </font>
    </dxf>
    <dxf>
      <numFmt numFmtId="31" formatCode="[h]:mm:ss"/>
    </dxf>
    <dxf>
      <font>
        <sz val="10"/>
      </font>
    </dxf>
    <dxf>
      <font>
        <b/>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b/>
      </font>
    </dxf>
    <dxf>
      <font>
        <b/>
      </font>
    </dxf>
    <dxf>
      <font>
        <sz val="10"/>
      </font>
    </dxf>
    <dxf>
      <font>
        <sz val="10"/>
      </font>
    </dxf>
    <dxf>
      <font>
        <sz val="10"/>
      </font>
    </dxf>
    <dxf>
      <font>
        <b/>
      </font>
    </dxf>
    <dxf>
      <numFmt numFmtId="31" formatCode="[h]:mm:ss"/>
    </dxf>
    <dxf>
      <font>
        <sz val="10"/>
      </font>
    </dxf>
    <dxf>
      <font>
        <b/>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5" formatCode="[$-F400]h:mm:ss\ AM/PM"/>
    </dxf>
    <dxf>
      <numFmt numFmtId="165" formatCode="[$-F400]h:mm:ss\ AM/PM"/>
    </dxf>
    <dxf>
      <numFmt numFmtId="165" formatCode="[$-F400]h:mm:ss\ AM/PM"/>
    </dxf>
    <dxf>
      <numFmt numFmtId="13" formatCode="0%"/>
    </dxf>
    <dxf>
      <numFmt numFmtId="13" formatCode="0%"/>
    </dxf>
    <dxf>
      <fill>
        <patternFill>
          <bgColor theme="0"/>
        </patternFill>
      </fill>
    </dxf>
    <dxf>
      <fill>
        <patternFill>
          <bgColor theme="0"/>
        </patternFill>
      </fill>
    </dxf>
    <dxf>
      <fill>
        <patternFill>
          <bgColor theme="0"/>
        </patternFill>
      </fill>
    </dxf>
    <dxf>
      <numFmt numFmtId="1" formatCode="0"/>
    </dxf>
    <dxf>
      <numFmt numFmtId="26" formatCode="hh:mm:ss"/>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numFmt numFmtId="1" formatCode="0"/>
    </dxf>
    <dxf>
      <numFmt numFmtId="13"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67" formatCode="0.0"/>
    </dxf>
    <dxf>
      <numFmt numFmtId="13" formatCode="0%"/>
    </dxf>
    <dxf>
      <font>
        <b/>
      </font>
    </dxf>
    <dxf>
      <font>
        <b/>
      </font>
    </dxf>
    <dxf>
      <font>
        <sz val="10"/>
      </font>
    </dxf>
    <dxf>
      <font>
        <sz val="10"/>
      </font>
    </dxf>
    <dxf>
      <font>
        <b/>
      </font>
    </dxf>
    <dxf>
      <font>
        <b/>
      </font>
    </dxf>
    <dxf>
      <font>
        <sz val="10"/>
      </font>
    </dxf>
    <dxf>
      <font>
        <sz val="10"/>
      </font>
    </dxf>
    <dxf>
      <font>
        <sz val="10"/>
      </font>
    </dxf>
    <dxf>
      <font>
        <b/>
      </font>
    </dxf>
    <dxf>
      <numFmt numFmtId="31" formatCode="[h]:mm:ss"/>
    </dxf>
    <dxf>
      <font>
        <sz val="10"/>
      </font>
    </dxf>
    <dxf>
      <font>
        <b/>
      </font>
    </dxf>
    <dxf>
      <numFmt numFmtId="13" formatCode="0%"/>
    </dxf>
    <dxf>
      <numFmt numFmtId="13" formatCode="0%"/>
    </dxf>
    <dxf>
      <numFmt numFmtId="165" formatCode="[$-F400]h:mm:ss\ AM/PM"/>
    </dxf>
    <dxf>
      <numFmt numFmtId="165" formatCode="[$-F400]h:mm:ss\ AM/PM"/>
    </dxf>
    <dxf>
      <numFmt numFmtId="165" formatCode="[$-F400]h:mm:ss\ AM/PM"/>
    </dxf>
    <dxf>
      <fill>
        <patternFill>
          <bgColor theme="0"/>
        </patternFill>
      </fill>
    </dxf>
    <dxf>
      <fill>
        <patternFill>
          <bgColor theme="0"/>
        </patternFill>
      </fill>
    </dxf>
    <dxf>
      <fill>
        <patternFill>
          <bgColor theme="0"/>
        </patternFill>
      </fill>
    </dxf>
    <dxf>
      <numFmt numFmtId="13" formatCode="0%"/>
    </dxf>
    <dxf>
      <numFmt numFmtId="1" formatCode="0"/>
    </dxf>
    <dxf>
      <fill>
        <patternFill>
          <bgColor theme="0"/>
        </patternFill>
      </fill>
    </dxf>
    <dxf>
      <fill>
        <patternFill>
          <bgColor theme="0"/>
        </patternFill>
      </fill>
    </dxf>
    <dxf>
      <numFmt numFmtId="1"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26" formatCode="hh:mm:ss"/>
    </dxf>
    <dxf>
      <numFmt numFmtId="1" formatCode="0"/>
    </dxf>
    <dxf>
      <numFmt numFmtId="31" formatCode="[h]:mm:ss"/>
    </dxf>
    <dxf>
      <font>
        <b/>
      </font>
    </dxf>
    <dxf>
      <font>
        <sz val="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z val="10"/>
      </font>
    </dxf>
    <dxf>
      <font>
        <sz val="10"/>
      </font>
    </dxf>
    <dxf>
      <font>
        <b/>
      </font>
    </dxf>
    <dxf>
      <font>
        <b/>
      </font>
    </dxf>
    <dxf>
      <numFmt numFmtId="13" formatCode="0%"/>
    </dxf>
    <dxf>
      <numFmt numFmtId="167" formatCode="0.0"/>
    </dxf>
    <dxf>
      <font>
        <b/>
      </font>
    </dxf>
    <dxf>
      <font>
        <sz val="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z val="10"/>
      </font>
    </dxf>
    <dxf>
      <font>
        <sz val="10"/>
      </font>
    </dxf>
    <dxf>
      <font>
        <b/>
      </font>
    </dxf>
    <dxf>
      <font>
        <b/>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9" tint="0.39994506668294322"/>
        </patternFill>
      </fill>
    </dxf>
    <dxf>
      <fill>
        <patternFill>
          <bgColor rgb="FFFFFF00"/>
        </patternFill>
      </fill>
    </dxf>
    <dxf>
      <fill>
        <patternFill>
          <bgColor rgb="FFFF0000"/>
        </patternFill>
      </fill>
    </dxf>
    <dxf>
      <fill>
        <patternFill>
          <bgColor theme="7"/>
        </patternFill>
      </fill>
    </dxf>
    <dxf>
      <fill>
        <patternFill>
          <bgColor rgb="FF00B0F0"/>
        </patternFill>
      </fill>
    </dxf>
    <dxf>
      <fill>
        <patternFill>
          <bgColor rgb="FF00B0F0"/>
        </patternFill>
      </fill>
    </dxf>
    <dxf>
      <fill>
        <patternFill>
          <bgColor rgb="FF00B0F0"/>
        </patternFill>
      </fill>
    </dxf>
    <dxf>
      <fill>
        <patternFill>
          <bgColor theme="4" tint="0.39994506668294322"/>
        </patternFill>
      </fill>
    </dxf>
  </dxfs>
  <tableStyles count="5" defaultTableStyle="TableStyleMedium2" defaultPivotStyle="PivotStyleLight16">
    <tableStyle name="PivotTable Style 1" table="0" count="1" xr9:uid="{EB927117-10AA-47DB-A8A4-3BBF921A9E0D}">
      <tableStyleElement type="wholeTable" dxfId="1458"/>
    </tableStyle>
    <tableStyle name="Slicer Style 1" pivot="0" table="0" count="1" xr9:uid="{5D97D277-5075-40DF-90BC-01DA1E7A5D2F}">
      <tableStyleElement type="headerRow" dxfId="1457"/>
    </tableStyle>
    <tableStyle name="Slicer Style 2" pivot="0" table="0" count="1" xr9:uid="{8F17B67B-21A6-4E16-B072-07A58B41DFCA}">
      <tableStyleElement type="wholeTable" dxfId="1456"/>
    </tableStyle>
    <tableStyle name="Slicer Style 3" pivot="0" table="0" count="2" xr9:uid="{A16483A4-0408-416E-9228-0D3C45530DEA}">
      <tableStyleElement type="headerRow" dxfId="1455"/>
    </tableStyle>
    <tableStyle name="Slicer Style 4" pivot="0" table="0" count="2" xr9:uid="{2CCF228E-AB32-4DB1-B12F-EC972426D9A1}">
      <tableStyleElement type="headerRow" dxfId="1454"/>
    </tableStyle>
  </tableStyles>
  <colors>
    <mruColors>
      <color rgb="FFFFFF00"/>
    </mruColors>
  </colors>
  <extLst>
    <ext xmlns:x14="http://schemas.microsoft.com/office/spreadsheetml/2009/9/main" uri="{46F421CA-312F-682f-3DD2-61675219B42D}">
      <x14:dxfs count="2">
        <dxf>
          <fill>
            <patternFill>
              <fgColor theme="5" tint="0.79998168889431442"/>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1"/>
          </x14:slicerStyleElements>
        </x14:slicerStyle>
        <x14:slicerStyle name="Slicer Style 4">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5.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2.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PERFORMANCE DASHBOARD PROJECT.xlsm]DASHBOARD!PivotTable4</c:name>
    <c:fmtId val="11"/>
  </c:pivotSource>
  <c:chart>
    <c:autoTitleDeleted val="1"/>
    <c:pivotFmts>
      <c:pivotFmt>
        <c:idx val="0"/>
        <c:spPr>
          <a:solidFill>
            <a:schemeClr val="accent1"/>
          </a:solidFill>
          <a:ln>
            <a:solidFill>
              <a:schemeClr val="bg1"/>
            </a:solidFill>
          </a:ln>
          <a:effectLst/>
        </c:spPr>
        <c:marker>
          <c:symbol val="none"/>
        </c:marker>
        <c:dLbl>
          <c:idx val="0"/>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rgbClr val="FF0000"/>
            </a:solidFill>
          </a:ln>
          <a:effectLst/>
        </c:spPr>
      </c:pivotFmt>
      <c:pivotFmt>
        <c:idx val="2"/>
        <c:spPr>
          <a:solidFill>
            <a:schemeClr val="accent1"/>
          </a:solidFill>
          <a:ln>
            <a:solidFill>
              <a:srgbClr val="FF0000"/>
            </a:solidFill>
          </a:ln>
          <a:effectLst/>
        </c:spPr>
      </c:pivotFmt>
      <c:pivotFmt>
        <c:idx val="3"/>
        <c:spPr>
          <a:solidFill>
            <a:schemeClr val="accent1"/>
          </a:solidFill>
          <a:ln>
            <a:solidFill>
              <a:srgbClr val="FF0000"/>
            </a:solidFill>
          </a:ln>
          <a:effectLst/>
        </c:spPr>
      </c:pivotFmt>
      <c:pivotFmt>
        <c:idx val="4"/>
        <c:spPr>
          <a:solidFill>
            <a:schemeClr val="accent1"/>
          </a:solidFill>
          <a:ln>
            <a:solidFill>
              <a:srgbClr val="FF0000"/>
            </a:solidFill>
          </a:ln>
          <a:effectLst/>
        </c:spPr>
      </c:pivotFmt>
      <c:pivotFmt>
        <c:idx val="5"/>
        <c:spPr>
          <a:solidFill>
            <a:schemeClr val="accent1"/>
          </a:solidFill>
          <a:ln>
            <a:solidFill>
              <a:schemeClr val="bg1"/>
            </a:solidFill>
          </a:ln>
          <a:effectLst/>
        </c:spPr>
      </c:pivotFmt>
      <c:pivotFmt>
        <c:idx val="6"/>
        <c:spPr>
          <a:solidFill>
            <a:schemeClr val="accent1"/>
          </a:solidFill>
          <a:ln>
            <a:solidFill>
              <a:schemeClr val="bg1"/>
            </a:solidFill>
          </a:ln>
          <a:effectLst/>
        </c:spPr>
      </c:pivotFmt>
      <c:pivotFmt>
        <c:idx val="7"/>
        <c:spPr>
          <a:solidFill>
            <a:schemeClr val="accent1"/>
          </a:solidFill>
          <a:ln>
            <a:solidFill>
              <a:schemeClr val="bg1"/>
            </a:solidFill>
          </a:ln>
          <a:effectLst/>
        </c:spPr>
      </c:pivotFmt>
      <c:pivotFmt>
        <c:idx val="8"/>
        <c:spPr>
          <a:solidFill>
            <a:schemeClr val="accent1"/>
          </a:solidFill>
          <a:ln>
            <a:solidFill>
              <a:schemeClr val="bg1"/>
            </a:solidFill>
          </a:ln>
          <a:effectLst/>
        </c:spPr>
      </c:pivotFmt>
    </c:pivotFmts>
    <c:plotArea>
      <c:layout>
        <c:manualLayout>
          <c:layoutTarget val="inner"/>
          <c:xMode val="edge"/>
          <c:yMode val="edge"/>
          <c:x val="9.0122757297202233E-2"/>
          <c:y val="6.9891271969019952E-2"/>
          <c:w val="0.84337814100837305"/>
          <c:h val="0.88281948168007152"/>
        </c:manualLayout>
      </c:layout>
      <c:barChart>
        <c:barDir val="bar"/>
        <c:grouping val="clustered"/>
        <c:varyColors val="0"/>
        <c:ser>
          <c:idx val="0"/>
          <c:order val="0"/>
          <c:tx>
            <c:strRef>
              <c:f>DASHBOARD!$K$10</c:f>
              <c:strCache>
                <c:ptCount val="1"/>
                <c:pt idx="0">
                  <c:v>Total</c:v>
                </c:pt>
              </c:strCache>
            </c:strRef>
          </c:tx>
          <c:spPr>
            <a:solidFill>
              <a:schemeClr val="accent1"/>
            </a:solidFill>
            <a:ln>
              <a:solidFill>
                <a:schemeClr val="bg1"/>
              </a:solidFill>
            </a:ln>
            <a:effectLst/>
          </c:spPr>
          <c:invertIfNegative val="0"/>
          <c:dLbls>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DASHBOARD!$J$11:$J$16</c:f>
              <c:strCache>
                <c:ptCount val="6"/>
                <c:pt idx="0">
                  <c:v>Anita Dixit</c:v>
                </c:pt>
                <c:pt idx="1">
                  <c:v>Deepak Kumar</c:v>
                </c:pt>
                <c:pt idx="2">
                  <c:v>Kamini Kumar</c:v>
                </c:pt>
                <c:pt idx="3">
                  <c:v>Kavita Sharma</c:v>
                </c:pt>
                <c:pt idx="4">
                  <c:v>Mercy Thampi</c:v>
                </c:pt>
                <c:pt idx="5">
                  <c:v>Rajesh Sharma</c:v>
                </c:pt>
              </c:strCache>
            </c:strRef>
          </c:cat>
          <c:val>
            <c:numRef>
              <c:f>DASHBOARD!$K$11:$K$16</c:f>
              <c:numCache>
                <c:formatCode>0%</c:formatCode>
                <c:ptCount val="6"/>
                <c:pt idx="0">
                  <c:v>0.65495030262646503</c:v>
                </c:pt>
                <c:pt idx="1">
                  <c:v>0.65029060203969702</c:v>
                </c:pt>
                <c:pt idx="2">
                  <c:v>0.64380836602751801</c:v>
                </c:pt>
                <c:pt idx="3">
                  <c:v>0.64717479317021698</c:v>
                </c:pt>
                <c:pt idx="4">
                  <c:v>0.62762080802746201</c:v>
                </c:pt>
                <c:pt idx="5">
                  <c:v>0.62426796562859199</c:v>
                </c:pt>
              </c:numCache>
            </c:numRef>
          </c:val>
          <c:extLst>
            <c:ext xmlns:c16="http://schemas.microsoft.com/office/drawing/2014/chart" uri="{C3380CC4-5D6E-409C-BE32-E72D297353CC}">
              <c16:uniqueId val="{00000006-3361-4EE1-A574-BB7F0D8A12E5}"/>
            </c:ext>
          </c:extLst>
        </c:ser>
        <c:dLbls>
          <c:dLblPos val="outEnd"/>
          <c:showLegendKey val="0"/>
          <c:showVal val="1"/>
          <c:showCatName val="0"/>
          <c:showSerName val="0"/>
          <c:showPercent val="0"/>
          <c:showBubbleSize val="0"/>
        </c:dLbls>
        <c:gapWidth val="50"/>
        <c:axId val="791552688"/>
        <c:axId val="791552208"/>
      </c:barChart>
      <c:valAx>
        <c:axId val="791552208"/>
        <c:scaling>
          <c:orientation val="minMax"/>
        </c:scaling>
        <c:delete val="1"/>
        <c:axPos val="b"/>
        <c:numFmt formatCode="0%" sourceLinked="1"/>
        <c:majorTickMark val="out"/>
        <c:minorTickMark val="none"/>
        <c:tickLblPos val="nextTo"/>
        <c:crossAx val="791552688"/>
        <c:crosses val="autoZero"/>
        <c:crossBetween val="between"/>
      </c:valAx>
      <c:catAx>
        <c:axId val="791552688"/>
        <c:scaling>
          <c:orientation val="minMax"/>
        </c:scaling>
        <c:delete val="1"/>
        <c:axPos val="l"/>
        <c:numFmt formatCode="General" sourceLinked="1"/>
        <c:majorTickMark val="out"/>
        <c:minorTickMark val="none"/>
        <c:tickLblPos val="nextTo"/>
        <c:crossAx val="791552208"/>
        <c:crosses val="autoZero"/>
        <c:auto val="1"/>
        <c:lblAlgn val="ctr"/>
        <c:lblOffset val="100"/>
        <c:noMultiLvlLbl val="0"/>
      </c:catAx>
      <c:spPr>
        <a:noFill/>
        <a:ln>
          <a:solidFill>
            <a:schemeClr val="accent1">
              <a:lumMod val="50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PERFORMANCE DASHBOARD PROJECT.xlsm]DASHBOARD!PivotTable3</c:name>
    <c:fmtId val="8"/>
  </c:pivotSource>
  <c:chart>
    <c:autoTitleDeleted val="1"/>
    <c:pivotFmts>
      <c:pivotFmt>
        <c:idx val="0"/>
        <c:spPr>
          <a:solidFill>
            <a:schemeClr val="accent1"/>
          </a:solidFill>
          <a:ln>
            <a:solidFill>
              <a:schemeClr val="bg1"/>
            </a:solidFill>
          </a:ln>
        </c:spPr>
        <c:marker>
          <c:symbol val="none"/>
        </c:marker>
        <c:dLbl>
          <c:idx val="0"/>
          <c:spPr>
            <a:solidFill>
              <a:schemeClr val="bg1"/>
            </a:solidFill>
            <a:ln>
              <a:solidFill>
                <a:schemeClr val="bg1"/>
              </a:solid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chemeClr val="bg1"/>
            </a:solidFill>
          </a:ln>
          <a:effectLst/>
        </c:spPr>
      </c:pivotFmt>
      <c:pivotFmt>
        <c:idx val="2"/>
        <c:spPr>
          <a:solidFill>
            <a:schemeClr val="accent1"/>
          </a:solidFill>
          <a:ln>
            <a:solidFill>
              <a:schemeClr val="bg1"/>
            </a:solidFill>
          </a:ln>
          <a:effectLst/>
        </c:spPr>
      </c:pivotFmt>
      <c:pivotFmt>
        <c:idx val="3"/>
        <c:spPr>
          <a:solidFill>
            <a:schemeClr val="accent1"/>
          </a:solidFill>
          <a:ln>
            <a:solidFill>
              <a:schemeClr val="bg1"/>
            </a:solidFill>
          </a:ln>
          <a:effectLst/>
        </c:spPr>
      </c:pivotFmt>
      <c:pivotFmt>
        <c:idx val="4"/>
        <c:spPr>
          <a:solidFill>
            <a:schemeClr val="accent1"/>
          </a:solidFill>
          <a:ln>
            <a:solidFill>
              <a:schemeClr val="bg1"/>
            </a:solidFill>
          </a:ln>
          <a:effectLst/>
        </c:spPr>
      </c:pivotFmt>
    </c:pivotFmts>
    <c:plotArea>
      <c:layout>
        <c:manualLayout>
          <c:layoutTarget val="inner"/>
          <c:xMode val="edge"/>
          <c:yMode val="edge"/>
          <c:x val="8.6043360433604332E-2"/>
          <c:y val="0.10299374441465595"/>
          <c:w val="0.85200542005420055"/>
          <c:h val="0.81963546321120051"/>
        </c:manualLayout>
      </c:layout>
      <c:barChart>
        <c:barDir val="col"/>
        <c:grouping val="clustered"/>
        <c:varyColors val="0"/>
        <c:ser>
          <c:idx val="0"/>
          <c:order val="0"/>
          <c:tx>
            <c:strRef>
              <c:f>DASHBOARD!$H$10</c:f>
              <c:strCache>
                <c:ptCount val="1"/>
                <c:pt idx="0">
                  <c:v>Total</c:v>
                </c:pt>
              </c:strCache>
            </c:strRef>
          </c:tx>
          <c:spPr>
            <a:solidFill>
              <a:schemeClr val="accent1"/>
            </a:solidFill>
            <a:ln>
              <a:solidFill>
                <a:schemeClr val="bg1"/>
              </a:solidFill>
            </a:ln>
          </c:spPr>
          <c:invertIfNegative val="0"/>
          <c:dPt>
            <c:idx val="0"/>
            <c:invertIfNegative val="0"/>
            <c:bubble3D val="0"/>
            <c:spPr>
              <a:solidFill>
                <a:schemeClr val="accent1"/>
              </a:solidFill>
              <a:ln>
                <a:solidFill>
                  <a:schemeClr val="bg1"/>
                </a:solidFill>
              </a:ln>
              <a:effectLst/>
            </c:spPr>
          </c:dPt>
          <c:dPt>
            <c:idx val="1"/>
            <c:invertIfNegative val="0"/>
            <c:bubble3D val="0"/>
            <c:spPr>
              <a:solidFill>
                <a:schemeClr val="accent1"/>
              </a:solidFill>
              <a:ln>
                <a:solidFill>
                  <a:schemeClr val="bg1"/>
                </a:solidFill>
              </a:ln>
              <a:effectLst/>
            </c:spPr>
          </c:dPt>
          <c:dPt>
            <c:idx val="2"/>
            <c:invertIfNegative val="0"/>
            <c:bubble3D val="0"/>
            <c:spPr>
              <a:solidFill>
                <a:schemeClr val="accent1"/>
              </a:solidFill>
              <a:ln>
                <a:solidFill>
                  <a:schemeClr val="bg1"/>
                </a:solidFill>
              </a:ln>
              <a:effectLst/>
            </c:spPr>
          </c:dPt>
          <c:dPt>
            <c:idx val="3"/>
            <c:invertIfNegative val="0"/>
            <c:bubble3D val="0"/>
            <c:spPr>
              <a:solidFill>
                <a:schemeClr val="accent1"/>
              </a:solidFill>
              <a:ln>
                <a:solidFill>
                  <a:schemeClr val="bg1"/>
                </a:solidFill>
              </a:ln>
              <a:effectLst/>
            </c:spPr>
          </c:dPt>
          <c:dLbls>
            <c:spPr>
              <a:solidFill>
                <a:schemeClr val="bg1"/>
              </a:solidFill>
              <a:ln>
                <a:solidFill>
                  <a:schemeClr val="bg1"/>
                </a:solid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DASHBOARD!$G$11:$G$14</c:f>
              <c:strCache>
                <c:ptCount val="4"/>
                <c:pt idx="0">
                  <c:v>Ashok Kumar</c:v>
                </c:pt>
                <c:pt idx="1">
                  <c:v>Santosh Kumar</c:v>
                </c:pt>
                <c:pt idx="2">
                  <c:v>Sunil Kumar</c:v>
                </c:pt>
                <c:pt idx="3">
                  <c:v>Tasneem Khan</c:v>
                </c:pt>
              </c:strCache>
            </c:strRef>
          </c:cat>
          <c:val>
            <c:numRef>
              <c:f>DASHBOARD!$H$11:$H$14</c:f>
              <c:numCache>
                <c:formatCode>General</c:formatCode>
                <c:ptCount val="4"/>
                <c:pt idx="0">
                  <c:v>322</c:v>
                </c:pt>
                <c:pt idx="1">
                  <c:v>222</c:v>
                </c:pt>
                <c:pt idx="2">
                  <c:v>185</c:v>
                </c:pt>
                <c:pt idx="3">
                  <c:v>107</c:v>
                </c:pt>
              </c:numCache>
            </c:numRef>
          </c:val>
          <c:extLst>
            <c:ext xmlns:c16="http://schemas.microsoft.com/office/drawing/2014/chart" uri="{C3380CC4-5D6E-409C-BE32-E72D297353CC}">
              <c16:uniqueId val="{00000006-23C7-44BA-9587-5BAC37ED6DA2}"/>
            </c:ext>
          </c:extLst>
        </c:ser>
        <c:dLbls>
          <c:dLblPos val="outEnd"/>
          <c:showLegendKey val="0"/>
          <c:showVal val="1"/>
          <c:showCatName val="0"/>
          <c:showSerName val="0"/>
          <c:showPercent val="0"/>
          <c:showBubbleSize val="0"/>
        </c:dLbls>
        <c:gapWidth val="50"/>
        <c:axId val="1699230351"/>
        <c:axId val="1699230831"/>
      </c:barChart>
      <c:catAx>
        <c:axId val="1699230351"/>
        <c:scaling>
          <c:orientation val="minMax"/>
        </c:scaling>
        <c:delete val="1"/>
        <c:axPos val="b"/>
        <c:numFmt formatCode="General" sourceLinked="1"/>
        <c:majorTickMark val="out"/>
        <c:minorTickMark val="none"/>
        <c:tickLblPos val="nextTo"/>
        <c:crossAx val="1699230831"/>
        <c:crosses val="autoZero"/>
        <c:auto val="1"/>
        <c:lblAlgn val="ctr"/>
        <c:lblOffset val="100"/>
        <c:noMultiLvlLbl val="0"/>
      </c:catAx>
      <c:valAx>
        <c:axId val="1699230831"/>
        <c:scaling>
          <c:orientation val="minMax"/>
        </c:scaling>
        <c:delete val="1"/>
        <c:axPos val="l"/>
        <c:numFmt formatCode="General" sourceLinked="1"/>
        <c:majorTickMark val="out"/>
        <c:minorTickMark val="none"/>
        <c:tickLblPos val="nextTo"/>
        <c:crossAx val="1699230351"/>
        <c:crosses val="autoZero"/>
        <c:crossBetween val="between"/>
      </c:valAx>
      <c:spPr>
        <a:noFill/>
        <a:ln>
          <a:solidFill>
            <a:schemeClr val="accent1">
              <a:lumMod val="50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w="9525" cap="flat" cmpd="sng" algn="ctr">
      <a:solidFill>
        <a:sysClr val="windowText" lastClr="000000"/>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PERFORMANCE DASHBOARD PROJECT.xlsm]DASHBOARD!PivotTable2</c:name>
    <c:fmtId val="3"/>
  </c:pivotSource>
  <c:chart>
    <c:autoTitleDeleted val="1"/>
    <c:pivotFmts>
      <c:pivotFmt>
        <c:idx val="0"/>
        <c:spPr>
          <a:solidFill>
            <a:schemeClr val="accent1"/>
          </a:solidFill>
          <a:ln w="19050">
            <a:solidFill>
              <a:schemeClr val="bg1"/>
            </a:solidFill>
          </a:ln>
          <a:effectLst/>
        </c:spPr>
        <c:marker>
          <c:symbol val="none"/>
        </c:marker>
        <c:dLbl>
          <c:idx val="0"/>
          <c:spPr>
            <a:solidFill>
              <a:schemeClr val="bg1"/>
            </a:solidFill>
            <a:ln>
              <a:solidFill>
                <a:schemeClr val="bg1"/>
              </a:solid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bg1"/>
            </a:solidFill>
          </a:ln>
          <a:effectLst/>
        </c:spPr>
      </c:pivotFmt>
      <c:pivotFmt>
        <c:idx val="2"/>
        <c:spPr>
          <a:solidFill>
            <a:schemeClr val="accent1"/>
          </a:solidFill>
          <a:ln w="19050">
            <a:solidFill>
              <a:schemeClr val="bg1"/>
            </a:solidFill>
          </a:ln>
          <a:effectLst/>
        </c:spPr>
      </c:pivotFmt>
      <c:pivotFmt>
        <c:idx val="3"/>
        <c:spPr>
          <a:solidFill>
            <a:schemeClr val="accent1"/>
          </a:solidFill>
          <a:ln w="19050">
            <a:solidFill>
              <a:schemeClr val="bg1"/>
            </a:solidFill>
          </a:ln>
          <a:effectLst/>
        </c:spPr>
      </c:pivotFmt>
      <c:pivotFmt>
        <c:idx val="4"/>
        <c:spPr>
          <a:solidFill>
            <a:schemeClr val="accent1"/>
          </a:solidFill>
          <a:ln w="19050">
            <a:solidFill>
              <a:schemeClr val="bg1"/>
            </a:solidFill>
          </a:ln>
          <a:effectLst/>
        </c:spPr>
      </c:pivotFmt>
      <c:pivotFmt>
        <c:idx val="5"/>
        <c:spPr>
          <a:solidFill>
            <a:schemeClr val="accent1"/>
          </a:solidFill>
          <a:ln w="19050">
            <a:solidFill>
              <a:schemeClr val="bg1"/>
            </a:solidFill>
          </a:ln>
          <a:effectLst/>
        </c:spPr>
      </c:pivotFmt>
    </c:pivotFmts>
    <c:plotArea>
      <c:layout>
        <c:manualLayout>
          <c:layoutTarget val="inner"/>
          <c:xMode val="edge"/>
          <c:yMode val="edge"/>
          <c:x val="3.7862321000931246E-2"/>
          <c:y val="6.9891271969019952E-2"/>
          <c:w val="0.83822462845056633"/>
          <c:h val="0.87913315460232355"/>
        </c:manualLayout>
      </c:layout>
      <c:barChart>
        <c:barDir val="bar"/>
        <c:grouping val="clustered"/>
        <c:varyColors val="0"/>
        <c:ser>
          <c:idx val="0"/>
          <c:order val="0"/>
          <c:tx>
            <c:strRef>
              <c:f>DASHBOARD!$E$10</c:f>
              <c:strCache>
                <c:ptCount val="1"/>
                <c:pt idx="0">
                  <c:v>Total</c:v>
                </c:pt>
              </c:strCache>
            </c:strRef>
          </c:tx>
          <c:spPr>
            <a:solidFill>
              <a:schemeClr val="accent1"/>
            </a:solidFill>
            <a:ln w="19050">
              <a:solidFill>
                <a:schemeClr val="bg1"/>
              </a:solidFill>
            </a:ln>
            <a:effectLst/>
          </c:spPr>
          <c:invertIfNegative val="0"/>
          <c:dPt>
            <c:idx val="1"/>
            <c:invertIfNegative val="0"/>
            <c:bubble3D val="0"/>
            <c:spPr>
              <a:solidFill>
                <a:schemeClr val="accent1"/>
              </a:solidFill>
              <a:ln w="19050">
                <a:solidFill>
                  <a:schemeClr val="bg1"/>
                </a:solidFill>
              </a:ln>
              <a:effectLst/>
            </c:spPr>
          </c:dPt>
          <c:dPt>
            <c:idx val="3"/>
            <c:invertIfNegative val="0"/>
            <c:bubble3D val="0"/>
            <c:spPr>
              <a:solidFill>
                <a:schemeClr val="accent1"/>
              </a:solidFill>
              <a:ln w="19050">
                <a:solidFill>
                  <a:schemeClr val="bg1"/>
                </a:solidFill>
              </a:ln>
              <a:effectLst/>
            </c:spPr>
          </c:dPt>
          <c:dPt>
            <c:idx val="4"/>
            <c:invertIfNegative val="0"/>
            <c:bubble3D val="0"/>
            <c:spPr>
              <a:solidFill>
                <a:schemeClr val="accent1"/>
              </a:solidFill>
              <a:ln w="19050">
                <a:solidFill>
                  <a:schemeClr val="bg1"/>
                </a:solidFill>
              </a:ln>
              <a:effectLst/>
            </c:spPr>
          </c:dPt>
          <c:dPt>
            <c:idx val="6"/>
            <c:invertIfNegative val="0"/>
            <c:bubble3D val="0"/>
            <c:spPr>
              <a:solidFill>
                <a:schemeClr val="accent1"/>
              </a:solidFill>
              <a:ln w="19050">
                <a:solidFill>
                  <a:schemeClr val="bg1"/>
                </a:solidFill>
              </a:ln>
              <a:effectLst/>
            </c:spPr>
          </c:dPt>
          <c:dPt>
            <c:idx val="7"/>
            <c:invertIfNegative val="0"/>
            <c:bubble3D val="0"/>
            <c:spPr>
              <a:solidFill>
                <a:schemeClr val="accent1"/>
              </a:solidFill>
              <a:ln w="19050">
                <a:solidFill>
                  <a:schemeClr val="bg1"/>
                </a:solidFill>
              </a:ln>
              <a:effectLst/>
            </c:spPr>
          </c:dPt>
          <c:dLbls>
            <c:spPr>
              <a:solidFill>
                <a:schemeClr val="bg1"/>
              </a:solidFill>
              <a:ln>
                <a:solidFill>
                  <a:schemeClr val="bg1"/>
                </a:solid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DASHBOARD!$D$11:$D$18</c:f>
              <c:strCache>
                <c:ptCount val="8"/>
                <c:pt idx="0">
                  <c:v>Anjali Deoram</c:v>
                </c:pt>
                <c:pt idx="1">
                  <c:v>Ashok Kumar</c:v>
                </c:pt>
                <c:pt idx="2">
                  <c:v>Daleep Singh</c:v>
                </c:pt>
                <c:pt idx="3">
                  <c:v>Manoj Kumar</c:v>
                </c:pt>
                <c:pt idx="4">
                  <c:v>Rajesh Kumar</c:v>
                </c:pt>
                <c:pt idx="5">
                  <c:v>Roma Rastogi</c:v>
                </c:pt>
                <c:pt idx="6">
                  <c:v>Santosh Kumar</c:v>
                </c:pt>
                <c:pt idx="7">
                  <c:v>Sunil Kumar</c:v>
                </c:pt>
              </c:strCache>
            </c:strRef>
          </c:cat>
          <c:val>
            <c:numRef>
              <c:f>DASHBOARD!$E$11:$E$18</c:f>
              <c:numCache>
                <c:formatCode>[h]:mm:ss</c:formatCode>
                <c:ptCount val="8"/>
                <c:pt idx="0">
                  <c:v>0.24453703703703702</c:v>
                </c:pt>
                <c:pt idx="1">
                  <c:v>0.76096064814814812</c:v>
                </c:pt>
                <c:pt idx="2">
                  <c:v>0.22703703703703704</c:v>
                </c:pt>
                <c:pt idx="3">
                  <c:v>0.37417824074074074</c:v>
                </c:pt>
                <c:pt idx="4">
                  <c:v>0.41770833333333335</c:v>
                </c:pt>
                <c:pt idx="5">
                  <c:v>0.2330787037037037</c:v>
                </c:pt>
                <c:pt idx="6">
                  <c:v>0.62321759259259257</c:v>
                </c:pt>
                <c:pt idx="7">
                  <c:v>0.29421296296296295</c:v>
                </c:pt>
              </c:numCache>
            </c:numRef>
          </c:val>
          <c:extLst>
            <c:ext xmlns:c16="http://schemas.microsoft.com/office/drawing/2014/chart" uri="{C3380CC4-5D6E-409C-BE32-E72D297353CC}">
              <c16:uniqueId val="{00000006-65FA-4077-8572-A2CF7E79E24D}"/>
            </c:ext>
          </c:extLst>
        </c:ser>
        <c:dLbls>
          <c:showLegendKey val="0"/>
          <c:showVal val="0"/>
          <c:showCatName val="0"/>
          <c:showSerName val="0"/>
          <c:showPercent val="0"/>
          <c:showBubbleSize val="0"/>
        </c:dLbls>
        <c:gapWidth val="50"/>
        <c:axId val="791553168"/>
        <c:axId val="791549808"/>
      </c:barChart>
      <c:catAx>
        <c:axId val="791553168"/>
        <c:scaling>
          <c:orientation val="minMax"/>
        </c:scaling>
        <c:delete val="1"/>
        <c:axPos val="l"/>
        <c:numFmt formatCode="General" sourceLinked="1"/>
        <c:majorTickMark val="out"/>
        <c:minorTickMark val="none"/>
        <c:tickLblPos val="nextTo"/>
        <c:crossAx val="791549808"/>
        <c:crosses val="autoZero"/>
        <c:auto val="1"/>
        <c:lblAlgn val="ctr"/>
        <c:lblOffset val="100"/>
        <c:noMultiLvlLbl val="0"/>
      </c:catAx>
      <c:valAx>
        <c:axId val="791549808"/>
        <c:scaling>
          <c:orientation val="minMax"/>
        </c:scaling>
        <c:delete val="1"/>
        <c:axPos val="b"/>
        <c:numFmt formatCode="[h]:mm:ss" sourceLinked="1"/>
        <c:majorTickMark val="out"/>
        <c:minorTickMark val="none"/>
        <c:tickLblPos val="nextTo"/>
        <c:crossAx val="791553168"/>
        <c:crosses val="autoZero"/>
        <c:crossBetween val="between"/>
      </c:valAx>
      <c:spPr>
        <a:noFill/>
        <a:ln>
          <a:solidFill>
            <a:schemeClr val="accent1">
              <a:lumMod val="50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w="9525" cap="flat" cmpd="sng" algn="ctr">
      <a:solidFill>
        <a:sysClr val="windowText" lastClr="000000"/>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PERFORMANCE DASHBOARD PROJECT.xlsm]DASHBOARD!PivotTable1</c:name>
    <c:fmtId val="0"/>
  </c:pivotSource>
  <c:chart>
    <c:autoTitleDeleted val="1"/>
    <c:pivotFmts>
      <c:pivotFmt>
        <c:idx val="0"/>
        <c:spPr>
          <a:solidFill>
            <a:schemeClr val="accent1"/>
          </a:solidFill>
          <a:ln>
            <a:solidFill>
              <a:schemeClr val="bg1"/>
            </a:solidFill>
          </a:ln>
          <a:effectLst/>
        </c:spPr>
        <c:marker>
          <c:symbol val="none"/>
        </c:marker>
        <c:dLbl>
          <c:idx val="0"/>
          <c:spPr>
            <a:solidFill>
              <a:sysClr val="window" lastClr="FFFFFF"/>
            </a:solid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chemeClr val="bg1"/>
            </a:solidFill>
          </a:ln>
          <a:effectLst/>
        </c:spPr>
      </c:pivotFmt>
    </c:pivotFmts>
    <c:plotArea>
      <c:layout>
        <c:manualLayout>
          <c:layoutTarget val="inner"/>
          <c:xMode val="edge"/>
          <c:yMode val="edge"/>
          <c:x val="4.0970352143402687E-2"/>
          <c:y val="2.732024839837836E-2"/>
          <c:w val="0.91464509970124441"/>
          <c:h val="0.90523447026261683"/>
        </c:manualLayout>
      </c:layout>
      <c:barChart>
        <c:barDir val="col"/>
        <c:grouping val="clustered"/>
        <c:varyColors val="0"/>
        <c:ser>
          <c:idx val="0"/>
          <c:order val="0"/>
          <c:tx>
            <c:strRef>
              <c:f>DASHBOARD!$B$10</c:f>
              <c:strCache>
                <c:ptCount val="1"/>
                <c:pt idx="0">
                  <c:v>Total</c:v>
                </c:pt>
              </c:strCache>
            </c:strRef>
          </c:tx>
          <c:spPr>
            <a:solidFill>
              <a:schemeClr val="accent1"/>
            </a:solidFill>
            <a:ln>
              <a:solidFill>
                <a:schemeClr val="bg1"/>
              </a:solidFill>
            </a:ln>
            <a:effectLst/>
          </c:spPr>
          <c:invertIfNegative val="0"/>
          <c:dLbls>
            <c:spPr>
              <a:solidFill>
                <a:sysClr val="window" lastClr="FFFFFF"/>
              </a:solid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DASHBOARD!$A$11:$A$15</c:f>
              <c:strCache>
                <c:ptCount val="5"/>
                <c:pt idx="0">
                  <c:v>Ashok Kumar</c:v>
                </c:pt>
                <c:pt idx="1">
                  <c:v>Manoj Kumar</c:v>
                </c:pt>
                <c:pt idx="2">
                  <c:v>Rajesh Kumar</c:v>
                </c:pt>
                <c:pt idx="3">
                  <c:v>Santosh Kumar</c:v>
                </c:pt>
                <c:pt idx="4">
                  <c:v>Sunil Kumar</c:v>
                </c:pt>
              </c:strCache>
            </c:strRef>
          </c:cat>
          <c:val>
            <c:numRef>
              <c:f>DASHBOARD!$B$11:$B$15</c:f>
              <c:numCache>
                <c:formatCode>[$-F400]h:mm:ss\ AM/PM</c:formatCode>
                <c:ptCount val="5"/>
                <c:pt idx="0">
                  <c:v>1.3668402777777779</c:v>
                </c:pt>
                <c:pt idx="1">
                  <c:v>0.66396990740740747</c:v>
                </c:pt>
                <c:pt idx="2">
                  <c:v>0.67937500000000006</c:v>
                </c:pt>
                <c:pt idx="3">
                  <c:v>1.0142939814814815</c:v>
                </c:pt>
                <c:pt idx="4">
                  <c:v>0.67259259259259263</c:v>
                </c:pt>
              </c:numCache>
            </c:numRef>
          </c:val>
          <c:extLst>
            <c:ext xmlns:c16="http://schemas.microsoft.com/office/drawing/2014/chart" uri="{C3380CC4-5D6E-409C-BE32-E72D297353CC}">
              <c16:uniqueId val="{00000006-CF7A-487F-9E67-5B310A57BCBA}"/>
            </c:ext>
          </c:extLst>
        </c:ser>
        <c:dLbls>
          <c:dLblPos val="outEnd"/>
          <c:showLegendKey val="0"/>
          <c:showVal val="1"/>
          <c:showCatName val="0"/>
          <c:showSerName val="0"/>
          <c:showPercent val="0"/>
          <c:showBubbleSize val="0"/>
        </c:dLbls>
        <c:gapWidth val="50"/>
        <c:axId val="1644341247"/>
        <c:axId val="1644341727"/>
      </c:barChart>
      <c:catAx>
        <c:axId val="1644341247"/>
        <c:scaling>
          <c:orientation val="minMax"/>
        </c:scaling>
        <c:delete val="1"/>
        <c:axPos val="b"/>
        <c:numFmt formatCode="General" sourceLinked="1"/>
        <c:majorTickMark val="out"/>
        <c:minorTickMark val="none"/>
        <c:tickLblPos val="nextTo"/>
        <c:crossAx val="1644341727"/>
        <c:crosses val="autoZero"/>
        <c:auto val="1"/>
        <c:lblAlgn val="ctr"/>
        <c:lblOffset val="100"/>
        <c:noMultiLvlLbl val="0"/>
      </c:catAx>
      <c:valAx>
        <c:axId val="1644341727"/>
        <c:scaling>
          <c:orientation val="minMax"/>
        </c:scaling>
        <c:delete val="1"/>
        <c:axPos val="l"/>
        <c:numFmt formatCode="[$-F400]h:mm:ss\ AM/PM" sourceLinked="1"/>
        <c:majorTickMark val="out"/>
        <c:minorTickMark val="none"/>
        <c:tickLblPos val="nextTo"/>
        <c:crossAx val="1644341247"/>
        <c:crosses val="autoZero"/>
        <c:crossBetween val="between"/>
      </c:valAx>
      <c:spPr>
        <a:noFill/>
        <a:ln>
          <a:solidFill>
            <a:schemeClr val="accent1">
              <a:lumMod val="50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6" fmlaLink="$U$1" max="30000" min="1" page="10" val="5"/>
</file>

<file path=xl/ctrlProps/ctrlProp2.xml><?xml version="1.0" encoding="utf-8"?>
<formControlPr xmlns="http://schemas.microsoft.com/office/spreadsheetml/2009/9/main" objectType="Spin" dx="26" fmlaLink="$U$1" max="30000" min="1" page="10" val="5"/>
</file>

<file path=xl/ctrlProps/ctrlProp3.xml><?xml version="1.0" encoding="utf-8"?>
<formControlPr xmlns="http://schemas.microsoft.com/office/spreadsheetml/2009/9/main" objectType="Spin" dx="26" fmlaLink="$U$2" max="30000" min="1" page="10" val="8"/>
</file>

<file path=xl/ctrlProps/ctrlProp4.xml><?xml version="1.0" encoding="utf-8"?>
<formControlPr xmlns="http://schemas.microsoft.com/office/spreadsheetml/2009/9/main" objectType="Spin" dx="26" fmlaLink="$U$2" max="30000" min="1" page="10" val="8"/>
</file>

<file path=xl/ctrlProps/ctrlProp5.xml><?xml version="1.0" encoding="utf-8"?>
<formControlPr xmlns="http://schemas.microsoft.com/office/spreadsheetml/2009/9/main" objectType="Spin" dx="26" fmlaLink="$U$3" max="30000" min="1" page="10" val="4"/>
</file>

<file path=xl/ctrlProps/ctrlProp6.xml><?xml version="1.0" encoding="utf-8"?>
<formControlPr xmlns="http://schemas.microsoft.com/office/spreadsheetml/2009/9/main" objectType="Spin" dx="26" fmlaLink="$U$3" max="30000" min="1" page="10" val="4"/>
</file>

<file path=xl/ctrlProps/ctrlProp7.xml><?xml version="1.0" encoding="utf-8"?>
<formControlPr xmlns="http://schemas.microsoft.com/office/spreadsheetml/2009/9/main" objectType="Spin" dx="26" fmlaLink="$U$4" max="30000" min="1" page="10" val="6"/>
</file>

<file path=xl/ctrlProps/ctrlProp8.xml><?xml version="1.0" encoding="utf-8"?>
<formControlPr xmlns="http://schemas.microsoft.com/office/spreadsheetml/2009/9/main" objectType="Spin" dx="26" fmlaLink="$U$4" max="30000" min="1" page="10" val="6"/>
</file>

<file path=xl/drawings/_rels/drawing1.xml.rels><?xml version="1.0" encoding="UTF-8" standalone="yes"?>
<Relationships xmlns="http://schemas.openxmlformats.org/package/2006/relationships"><Relationship Id="rId8" Type="http://schemas.microsoft.com/office/2007/relationships/hdphoto" Target="../media/hdphoto2.wdp"/><Relationship Id="rId3" Type="http://schemas.openxmlformats.org/officeDocument/2006/relationships/chart" Target="../charts/chart3.xml"/><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microsoft.com/office/2007/relationships/hdphoto" Target="../media/hdphoto1.wdp"/><Relationship Id="rId5" Type="http://schemas.openxmlformats.org/officeDocument/2006/relationships/image" Target="../media/image1.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6015</xdr:colOff>
      <xdr:row>18</xdr:row>
      <xdr:rowOff>67777</xdr:rowOff>
    </xdr:from>
    <xdr:to>
      <xdr:col>11</xdr:col>
      <xdr:colOff>10026</xdr:colOff>
      <xdr:row>33</xdr:row>
      <xdr:rowOff>46272</xdr:rowOff>
    </xdr:to>
    <xdr:graphicFrame macro="">
      <xdr:nvGraphicFramePr>
        <xdr:cNvPr id="42" name="Chart 4">
          <a:extLst>
            <a:ext uri="{FF2B5EF4-FFF2-40B4-BE49-F238E27FC236}">
              <a16:creationId xmlns:a16="http://schemas.microsoft.com/office/drawing/2014/main" id="{C8A13EC2-264B-E00C-114C-47B18E9350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80209</xdr:colOff>
      <xdr:row>18</xdr:row>
      <xdr:rowOff>80210</xdr:rowOff>
    </xdr:from>
    <xdr:to>
      <xdr:col>8</xdr:col>
      <xdr:colOff>10341</xdr:colOff>
      <xdr:row>33</xdr:row>
      <xdr:rowOff>58705</xdr:rowOff>
    </xdr:to>
    <xdr:graphicFrame macro="">
      <xdr:nvGraphicFramePr>
        <xdr:cNvPr id="31" name="Chart 3">
          <a:extLst>
            <a:ext uri="{FF2B5EF4-FFF2-40B4-BE49-F238E27FC236}">
              <a16:creationId xmlns:a16="http://schemas.microsoft.com/office/drawing/2014/main" id="{5562B98B-D596-A87C-E7CD-7D0F2B1A2F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18</xdr:row>
      <xdr:rowOff>67778</xdr:rowOff>
    </xdr:from>
    <xdr:to>
      <xdr:col>5</xdr:col>
      <xdr:colOff>0</xdr:colOff>
      <xdr:row>33</xdr:row>
      <xdr:rowOff>46273</xdr:rowOff>
    </xdr:to>
    <xdr:graphicFrame macro="">
      <xdr:nvGraphicFramePr>
        <xdr:cNvPr id="23" name="Chart 2">
          <a:extLst>
            <a:ext uri="{FF2B5EF4-FFF2-40B4-BE49-F238E27FC236}">
              <a16:creationId xmlns:a16="http://schemas.microsoft.com/office/drawing/2014/main" id="{D47C8A01-DD09-F0B0-C56F-514D0DE70F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18</xdr:row>
      <xdr:rowOff>67779</xdr:rowOff>
    </xdr:from>
    <xdr:to>
      <xdr:col>2</xdr:col>
      <xdr:colOff>0</xdr:colOff>
      <xdr:row>33</xdr:row>
      <xdr:rowOff>47326</xdr:rowOff>
    </xdr:to>
    <xdr:graphicFrame macro="">
      <xdr:nvGraphicFramePr>
        <xdr:cNvPr id="7" name="Chart 1">
          <a:extLst>
            <a:ext uri="{FF2B5EF4-FFF2-40B4-BE49-F238E27FC236}">
              <a16:creationId xmlns:a16="http://schemas.microsoft.com/office/drawing/2014/main" id="{2F262276-DA18-23AF-B132-632644056B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121920</xdr:colOff>
      <xdr:row>4</xdr:row>
      <xdr:rowOff>99060</xdr:rowOff>
    </xdr:from>
    <xdr:to>
      <xdr:col>10</xdr:col>
      <xdr:colOff>1363980</xdr:colOff>
      <xdr:row>6</xdr:row>
      <xdr:rowOff>190500</xdr:rowOff>
    </xdr:to>
    <xdr:sp macro="" textlink="$U$4">
      <xdr:nvSpPr>
        <xdr:cNvPr id="37" name="Rectangle 4">
          <a:extLst>
            <a:ext uri="{FF2B5EF4-FFF2-40B4-BE49-F238E27FC236}">
              <a16:creationId xmlns:a16="http://schemas.microsoft.com/office/drawing/2014/main" id="{0809AB39-560B-487A-BF09-70BE9C9D1105}"/>
            </a:ext>
          </a:extLst>
        </xdr:cNvPr>
        <xdr:cNvSpPr/>
      </xdr:nvSpPr>
      <xdr:spPr>
        <a:xfrm>
          <a:off x="12847320" y="548640"/>
          <a:ext cx="1242060" cy="457200"/>
        </a:xfrm>
        <a:prstGeom prst="rect">
          <a:avLst/>
        </a:prstGeom>
        <a:solidFill>
          <a:sysClr val="window" lastClr="FFFFFF"/>
        </a:soli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AB90A62-E791-47ED-A785-016C1D228994}" type="TxLink">
            <a:rPr lang="en-US" sz="2800" b="1" i="0" u="none" strike="noStrike">
              <a:solidFill>
                <a:srgbClr val="000000"/>
              </a:solidFill>
              <a:latin typeface="Calibri"/>
              <a:ea typeface="Calibri"/>
              <a:cs typeface="Calibri"/>
            </a:rPr>
            <a:pPr algn="ctr"/>
            <a:t>6</a:t>
          </a:fld>
          <a:endParaRPr lang="en-IN" sz="2800" b="1"/>
        </a:p>
      </xdr:txBody>
    </xdr:sp>
    <xdr:clientData/>
  </xdr:twoCellAnchor>
  <xdr:twoCellAnchor>
    <xdr:from>
      <xdr:col>7</xdr:col>
      <xdr:colOff>121920</xdr:colOff>
      <xdr:row>4</xdr:row>
      <xdr:rowOff>99060</xdr:rowOff>
    </xdr:from>
    <xdr:to>
      <xdr:col>7</xdr:col>
      <xdr:colOff>1363980</xdr:colOff>
      <xdr:row>6</xdr:row>
      <xdr:rowOff>190500</xdr:rowOff>
    </xdr:to>
    <xdr:sp macro="" textlink="$U$3">
      <xdr:nvSpPr>
        <xdr:cNvPr id="24" name="Rectangle 3">
          <a:extLst>
            <a:ext uri="{FF2B5EF4-FFF2-40B4-BE49-F238E27FC236}">
              <a16:creationId xmlns:a16="http://schemas.microsoft.com/office/drawing/2014/main" id="{E6978352-689B-462A-9C77-00C488613CA4}"/>
            </a:ext>
          </a:extLst>
        </xdr:cNvPr>
        <xdr:cNvSpPr/>
      </xdr:nvSpPr>
      <xdr:spPr>
        <a:xfrm>
          <a:off x="5334000" y="548640"/>
          <a:ext cx="1242060" cy="457200"/>
        </a:xfrm>
        <a:prstGeom prst="rect">
          <a:avLst/>
        </a:prstGeom>
        <a:solidFill>
          <a:sysClr val="window" lastClr="FFFFFF"/>
        </a:soli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DFB4FA1-5332-4E51-902B-B3BBDED02754}" type="TxLink">
            <a:rPr lang="en-US" sz="2800" b="1" i="0" u="none" strike="noStrike">
              <a:solidFill>
                <a:srgbClr val="000000"/>
              </a:solidFill>
              <a:latin typeface="Calibri"/>
              <a:ea typeface="Calibri"/>
              <a:cs typeface="Calibri"/>
            </a:rPr>
            <a:pPr algn="ctr"/>
            <a:t>4</a:t>
          </a:fld>
          <a:endParaRPr lang="en-IN" sz="2800" b="1"/>
        </a:p>
      </xdr:txBody>
    </xdr:sp>
    <xdr:clientData/>
  </xdr:twoCellAnchor>
  <xdr:twoCellAnchor>
    <xdr:from>
      <xdr:col>4</xdr:col>
      <xdr:colOff>121920</xdr:colOff>
      <xdr:row>4</xdr:row>
      <xdr:rowOff>99060</xdr:rowOff>
    </xdr:from>
    <xdr:to>
      <xdr:col>4</xdr:col>
      <xdr:colOff>1363980</xdr:colOff>
      <xdr:row>6</xdr:row>
      <xdr:rowOff>190500</xdr:rowOff>
    </xdr:to>
    <xdr:sp macro="" textlink="$U$2">
      <xdr:nvSpPr>
        <xdr:cNvPr id="18" name="Rectangle 2">
          <a:extLst>
            <a:ext uri="{FF2B5EF4-FFF2-40B4-BE49-F238E27FC236}">
              <a16:creationId xmlns:a16="http://schemas.microsoft.com/office/drawing/2014/main" id="{7A3926EF-5F56-451D-A8E6-13C08FD7F3F5}"/>
            </a:ext>
          </a:extLst>
        </xdr:cNvPr>
        <xdr:cNvSpPr/>
      </xdr:nvSpPr>
      <xdr:spPr>
        <a:xfrm>
          <a:off x="5448300" y="548640"/>
          <a:ext cx="1242060" cy="457200"/>
        </a:xfrm>
        <a:prstGeom prst="rect">
          <a:avLst/>
        </a:prstGeom>
        <a:solidFill>
          <a:sysClr val="window" lastClr="FFFFFF"/>
        </a:soli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1311209-343E-4015-B178-E7DBA8AF5118}" type="TxLink">
            <a:rPr lang="en-US" sz="2800" b="1" i="0" u="none" strike="noStrike">
              <a:solidFill>
                <a:srgbClr val="000000"/>
              </a:solidFill>
              <a:latin typeface="Calibri"/>
              <a:ea typeface="Calibri"/>
              <a:cs typeface="Calibri"/>
            </a:rPr>
            <a:pPr algn="ctr"/>
            <a:t>8</a:t>
          </a:fld>
          <a:endParaRPr lang="en-IN" sz="2800" b="1"/>
        </a:p>
      </xdr:txBody>
    </xdr:sp>
    <xdr:clientData/>
  </xdr:twoCellAnchor>
  <xdr:twoCellAnchor>
    <xdr:from>
      <xdr:col>1</xdr:col>
      <xdr:colOff>121920</xdr:colOff>
      <xdr:row>4</xdr:row>
      <xdr:rowOff>99060</xdr:rowOff>
    </xdr:from>
    <xdr:to>
      <xdr:col>1</xdr:col>
      <xdr:colOff>1363980</xdr:colOff>
      <xdr:row>6</xdr:row>
      <xdr:rowOff>190500</xdr:rowOff>
    </xdr:to>
    <xdr:sp macro="" textlink="$U$1">
      <xdr:nvSpPr>
        <xdr:cNvPr id="5" name="Rectangle 1">
          <a:extLst>
            <a:ext uri="{FF2B5EF4-FFF2-40B4-BE49-F238E27FC236}">
              <a16:creationId xmlns:a16="http://schemas.microsoft.com/office/drawing/2014/main" id="{A575B16D-BC5B-1476-7CC2-F4C12C1C172B}"/>
            </a:ext>
          </a:extLst>
        </xdr:cNvPr>
        <xdr:cNvSpPr/>
      </xdr:nvSpPr>
      <xdr:spPr>
        <a:xfrm>
          <a:off x="1447800" y="548640"/>
          <a:ext cx="1242060" cy="457200"/>
        </a:xfrm>
        <a:prstGeom prst="rect">
          <a:avLst/>
        </a:prstGeom>
        <a:solidFill>
          <a:sysClr val="window" lastClr="FFFFFF"/>
        </a:soli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7C1BF3-434B-4671-9398-2CE0061A3337}" type="TxLink">
            <a:rPr lang="en-US" sz="2800" b="1" i="0" u="none" strike="noStrike">
              <a:solidFill>
                <a:srgbClr val="000000"/>
              </a:solidFill>
              <a:latin typeface="Calibri"/>
              <a:ea typeface="Calibri"/>
              <a:cs typeface="Calibri"/>
            </a:rPr>
            <a:pPr algn="ctr"/>
            <a:t>5</a:t>
          </a:fld>
          <a:endParaRPr lang="en-IN" sz="2800" b="1"/>
        </a:p>
      </xdr:txBody>
    </xdr:sp>
    <xdr:clientData/>
  </xdr:twoCellAnchor>
  <mc:AlternateContent xmlns:mc="http://schemas.openxmlformats.org/markup-compatibility/2006">
    <mc:Choice xmlns:a14="http://schemas.microsoft.com/office/drawing/2010/main" Requires="a14">
      <xdr:twoCellAnchor>
        <xdr:from>
          <xdr:col>10</xdr:col>
          <xdr:colOff>1950720</xdr:colOff>
          <xdr:row>19</xdr:row>
          <xdr:rowOff>22860</xdr:rowOff>
        </xdr:from>
        <xdr:to>
          <xdr:col>10</xdr:col>
          <xdr:colOff>2118360</xdr:colOff>
          <xdr:row>20</xdr:row>
          <xdr:rowOff>99060</xdr:rowOff>
        </xdr:to>
        <xdr:sp macro="" textlink="">
          <xdr:nvSpPr>
            <xdr:cNvPr id="2064" name="Spinner 8" hidden="1">
              <a:extLst>
                <a:ext uri="{63B3BB69-23CF-44E3-9099-C40C66FF867C}">
                  <a14:compatExt spid="_x0000_s2064"/>
                </a:ext>
                <a:ext uri="{FF2B5EF4-FFF2-40B4-BE49-F238E27FC236}">
                  <a16:creationId xmlns:a16="http://schemas.microsoft.com/office/drawing/2014/main" id="{00000000-0008-0000-0400-000010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129540</xdr:colOff>
          <xdr:row>4</xdr:row>
          <xdr:rowOff>106680</xdr:rowOff>
        </xdr:from>
        <xdr:to>
          <xdr:col>10</xdr:col>
          <xdr:colOff>449580</xdr:colOff>
          <xdr:row>6</xdr:row>
          <xdr:rowOff>190500</xdr:rowOff>
        </xdr:to>
        <xdr:sp macro="" textlink="">
          <xdr:nvSpPr>
            <xdr:cNvPr id="2063" name="Spinner 7" hidden="1">
              <a:extLst>
                <a:ext uri="{63B3BB69-23CF-44E3-9099-C40C66FF867C}">
                  <a14:compatExt spid="_x0000_s2063"/>
                </a:ext>
                <a:ext uri="{FF2B5EF4-FFF2-40B4-BE49-F238E27FC236}">
                  <a16:creationId xmlns:a16="http://schemas.microsoft.com/office/drawing/2014/main" id="{00000000-0008-0000-0400-00000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1950720</xdr:colOff>
          <xdr:row>19</xdr:row>
          <xdr:rowOff>30480</xdr:rowOff>
        </xdr:from>
        <xdr:to>
          <xdr:col>7</xdr:col>
          <xdr:colOff>2118360</xdr:colOff>
          <xdr:row>20</xdr:row>
          <xdr:rowOff>106680</xdr:rowOff>
        </xdr:to>
        <xdr:sp macro="" textlink="">
          <xdr:nvSpPr>
            <xdr:cNvPr id="2061" name="Spinner 6"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129540</xdr:colOff>
          <xdr:row>4</xdr:row>
          <xdr:rowOff>106680</xdr:rowOff>
        </xdr:from>
        <xdr:to>
          <xdr:col>7</xdr:col>
          <xdr:colOff>449580</xdr:colOff>
          <xdr:row>6</xdr:row>
          <xdr:rowOff>190500</xdr:rowOff>
        </xdr:to>
        <xdr:sp macro="" textlink="">
          <xdr:nvSpPr>
            <xdr:cNvPr id="2060" name="Spinner 5"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2019300</xdr:colOff>
          <xdr:row>19</xdr:row>
          <xdr:rowOff>30480</xdr:rowOff>
        </xdr:from>
        <xdr:to>
          <xdr:col>4</xdr:col>
          <xdr:colOff>2186940</xdr:colOff>
          <xdr:row>20</xdr:row>
          <xdr:rowOff>106680</xdr:rowOff>
        </xdr:to>
        <xdr:sp macro="" textlink="">
          <xdr:nvSpPr>
            <xdr:cNvPr id="2059" name="Spinner 4"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129540</xdr:colOff>
          <xdr:row>4</xdr:row>
          <xdr:rowOff>106680</xdr:rowOff>
        </xdr:from>
        <xdr:to>
          <xdr:col>4</xdr:col>
          <xdr:colOff>449580</xdr:colOff>
          <xdr:row>6</xdr:row>
          <xdr:rowOff>190500</xdr:rowOff>
        </xdr:to>
        <xdr:sp macro="" textlink="">
          <xdr:nvSpPr>
            <xdr:cNvPr id="2057" name="Spinner 3"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2125980</xdr:colOff>
          <xdr:row>19</xdr:row>
          <xdr:rowOff>7620</xdr:rowOff>
        </xdr:from>
        <xdr:to>
          <xdr:col>1</xdr:col>
          <xdr:colOff>2293620</xdr:colOff>
          <xdr:row>20</xdr:row>
          <xdr:rowOff>83820</xdr:rowOff>
        </xdr:to>
        <xdr:sp macro="" textlink="">
          <xdr:nvSpPr>
            <xdr:cNvPr id="2052" name="Spinner 2"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129540</xdr:colOff>
          <xdr:row>4</xdr:row>
          <xdr:rowOff>106680</xdr:rowOff>
        </xdr:from>
        <xdr:to>
          <xdr:col>1</xdr:col>
          <xdr:colOff>449580</xdr:colOff>
          <xdr:row>6</xdr:row>
          <xdr:rowOff>190500</xdr:rowOff>
        </xdr:to>
        <xdr:sp macro="" textlink="">
          <xdr:nvSpPr>
            <xdr:cNvPr id="2049" name="Spinner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oneCellAnchor>
    <xdr:from>
      <xdr:col>9</xdr:col>
      <xdr:colOff>815340</xdr:colOff>
      <xdr:row>4</xdr:row>
      <xdr:rowOff>99060</xdr:rowOff>
    </xdr:from>
    <xdr:ext cx="541020" cy="495301"/>
    <xdr:pic macro="[0]!SHOWCHART4">
      <xdr:nvPicPr>
        <xdr:cNvPr id="38" name="CLOSED EYE 4" hidden="1">
          <a:extLst>
            <a:ext uri="{FF2B5EF4-FFF2-40B4-BE49-F238E27FC236}">
              <a16:creationId xmlns:a16="http://schemas.microsoft.com/office/drawing/2014/main" id="{95C1F0E7-AA7F-4CA0-826E-70C74147530B}"/>
            </a:ext>
          </a:extLst>
        </xdr:cNvPr>
        <xdr:cNvPicPr>
          <a:picLocks noChangeAspect="1"/>
        </xdr:cNvPicPr>
      </xdr:nvPicPr>
      <xdr:blipFill rotWithShape="1">
        <a:blip xmlns:r="http://schemas.openxmlformats.org/officeDocument/2006/relationships" r:embed="rId5">
          <a:extLst>
            <a:ext uri="{BEBA8EAE-BF5A-486C-A8C5-ECC9F3942E4B}">
              <a14:imgProps xmlns:a14="http://schemas.microsoft.com/office/drawing/2010/main">
                <a14:imgLayer r:embed="rId6">
                  <a14:imgEffect>
                    <a14:backgroundRemoval t="24826" b="80912" l="10000" r="90000"/>
                  </a14:imgEffect>
                </a14:imgLayer>
              </a14:imgProps>
            </a:ext>
          </a:extLst>
        </a:blip>
        <a:srcRect t="17815" b="12077"/>
        <a:stretch>
          <a:fillRect/>
        </a:stretch>
      </xdr:blipFill>
      <xdr:spPr>
        <a:xfrm>
          <a:off x="8397240" y="548640"/>
          <a:ext cx="541020" cy="495301"/>
        </a:xfrm>
        <a:prstGeom prst="rect">
          <a:avLst/>
        </a:prstGeom>
      </xdr:spPr>
    </xdr:pic>
    <xdr:clientData/>
  </xdr:oneCellAnchor>
  <xdr:oneCellAnchor>
    <xdr:from>
      <xdr:col>6</xdr:col>
      <xdr:colOff>815340</xdr:colOff>
      <xdr:row>4</xdr:row>
      <xdr:rowOff>99060</xdr:rowOff>
    </xdr:from>
    <xdr:ext cx="541020" cy="495301"/>
    <xdr:pic macro="[0]!showchart3">
      <xdr:nvPicPr>
        <xdr:cNvPr id="25" name="CLOSED EYE 3" hidden="1">
          <a:extLst>
            <a:ext uri="{FF2B5EF4-FFF2-40B4-BE49-F238E27FC236}">
              <a16:creationId xmlns:a16="http://schemas.microsoft.com/office/drawing/2014/main" id="{1DECC693-364A-4C2B-945C-16C3BE4D5A57}"/>
            </a:ext>
          </a:extLst>
        </xdr:cNvPr>
        <xdr:cNvPicPr>
          <a:picLocks noChangeAspect="1"/>
        </xdr:cNvPicPr>
      </xdr:nvPicPr>
      <xdr:blipFill rotWithShape="1">
        <a:blip xmlns:r="http://schemas.openxmlformats.org/officeDocument/2006/relationships" r:embed="rId5">
          <a:extLst>
            <a:ext uri="{BEBA8EAE-BF5A-486C-A8C5-ECC9F3942E4B}">
              <a14:imgProps xmlns:a14="http://schemas.microsoft.com/office/drawing/2010/main">
                <a14:imgLayer r:embed="rId6">
                  <a14:imgEffect>
                    <a14:backgroundRemoval t="24826" b="80912" l="10000" r="90000"/>
                  </a14:imgEffect>
                </a14:imgLayer>
              </a14:imgProps>
            </a:ext>
          </a:extLst>
        </a:blip>
        <a:srcRect t="17815" b="12077"/>
        <a:stretch>
          <a:fillRect/>
        </a:stretch>
      </xdr:blipFill>
      <xdr:spPr>
        <a:xfrm>
          <a:off x="4625340" y="548640"/>
          <a:ext cx="541020" cy="495301"/>
        </a:xfrm>
        <a:prstGeom prst="rect">
          <a:avLst/>
        </a:prstGeom>
      </xdr:spPr>
    </xdr:pic>
    <xdr:clientData/>
  </xdr:oneCellAnchor>
  <xdr:oneCellAnchor>
    <xdr:from>
      <xdr:col>3</xdr:col>
      <xdr:colOff>815340</xdr:colOff>
      <xdr:row>4</xdr:row>
      <xdr:rowOff>99060</xdr:rowOff>
    </xdr:from>
    <xdr:ext cx="541020" cy="495301"/>
    <xdr:pic macro="[0]!SHOWCHART2">
      <xdr:nvPicPr>
        <xdr:cNvPr id="19" name="CLOSED EYE 2" hidden="1">
          <a:extLst>
            <a:ext uri="{FF2B5EF4-FFF2-40B4-BE49-F238E27FC236}">
              <a16:creationId xmlns:a16="http://schemas.microsoft.com/office/drawing/2014/main" id="{7DFAF59D-5E0F-47DE-B2C2-E40B8CF290E5}"/>
            </a:ext>
          </a:extLst>
        </xdr:cNvPr>
        <xdr:cNvPicPr>
          <a:picLocks noChangeAspect="1"/>
        </xdr:cNvPicPr>
      </xdr:nvPicPr>
      <xdr:blipFill rotWithShape="1">
        <a:blip xmlns:r="http://schemas.openxmlformats.org/officeDocument/2006/relationships" r:embed="rId5">
          <a:extLst>
            <a:ext uri="{BEBA8EAE-BF5A-486C-A8C5-ECC9F3942E4B}">
              <a14:imgProps xmlns:a14="http://schemas.microsoft.com/office/drawing/2010/main">
                <a14:imgLayer r:embed="rId6">
                  <a14:imgEffect>
                    <a14:backgroundRemoval t="24826" b="80912" l="10000" r="90000"/>
                  </a14:imgEffect>
                </a14:imgLayer>
              </a14:imgProps>
            </a:ext>
          </a:extLst>
        </a:blip>
        <a:srcRect t="17815" b="12077"/>
        <a:stretch>
          <a:fillRect/>
        </a:stretch>
      </xdr:blipFill>
      <xdr:spPr>
        <a:xfrm>
          <a:off x="815340" y="548640"/>
          <a:ext cx="541020" cy="495301"/>
        </a:xfrm>
        <a:prstGeom prst="rect">
          <a:avLst/>
        </a:prstGeom>
      </xdr:spPr>
    </xdr:pic>
    <xdr:clientData/>
  </xdr:oneCellAnchor>
  <xdr:twoCellAnchor editAs="oneCell">
    <xdr:from>
      <xdr:col>0</xdr:col>
      <xdr:colOff>815340</xdr:colOff>
      <xdr:row>4</xdr:row>
      <xdr:rowOff>99060</xdr:rowOff>
    </xdr:from>
    <xdr:to>
      <xdr:col>1</xdr:col>
      <xdr:colOff>30480</xdr:colOff>
      <xdr:row>6</xdr:row>
      <xdr:rowOff>228600</xdr:rowOff>
    </xdr:to>
    <xdr:pic macro="[0]!SHOWCHART1">
      <xdr:nvPicPr>
        <xdr:cNvPr id="4" name="CLOSED EYE 1" hidden="1">
          <a:extLst>
            <a:ext uri="{FF2B5EF4-FFF2-40B4-BE49-F238E27FC236}">
              <a16:creationId xmlns:a16="http://schemas.microsoft.com/office/drawing/2014/main" id="{1AF85D12-24B5-4FAE-B0A1-2C48F37D23CA}"/>
            </a:ext>
          </a:extLst>
        </xdr:cNvPr>
        <xdr:cNvPicPr>
          <a:picLocks noChangeAspect="1"/>
        </xdr:cNvPicPr>
      </xdr:nvPicPr>
      <xdr:blipFill rotWithShape="1">
        <a:blip xmlns:r="http://schemas.openxmlformats.org/officeDocument/2006/relationships" r:embed="rId5">
          <a:extLst>
            <a:ext uri="{BEBA8EAE-BF5A-486C-A8C5-ECC9F3942E4B}">
              <a14:imgProps xmlns:a14="http://schemas.microsoft.com/office/drawing/2010/main">
                <a14:imgLayer r:embed="rId6">
                  <a14:imgEffect>
                    <a14:backgroundRemoval t="24826" b="80912" l="10000" r="90000"/>
                  </a14:imgEffect>
                </a14:imgLayer>
              </a14:imgProps>
            </a:ext>
          </a:extLst>
        </a:blip>
        <a:srcRect t="17815" b="12077"/>
        <a:stretch>
          <a:fillRect/>
        </a:stretch>
      </xdr:blipFill>
      <xdr:spPr>
        <a:xfrm>
          <a:off x="815340" y="548640"/>
          <a:ext cx="541020" cy="495301"/>
        </a:xfrm>
        <a:prstGeom prst="rect">
          <a:avLst/>
        </a:prstGeom>
      </xdr:spPr>
    </xdr:pic>
    <xdr:clientData/>
  </xdr:twoCellAnchor>
  <xdr:oneCellAnchor>
    <xdr:from>
      <xdr:col>9</xdr:col>
      <xdr:colOff>830580</xdr:colOff>
      <xdr:row>4</xdr:row>
      <xdr:rowOff>76200</xdr:rowOff>
    </xdr:from>
    <xdr:ext cx="541019" cy="510540"/>
    <xdr:pic macro="[0]!HIDECHART4">
      <xdr:nvPicPr>
        <xdr:cNvPr id="39" name="OPEN EYE 4">
          <a:extLst>
            <a:ext uri="{FF2B5EF4-FFF2-40B4-BE49-F238E27FC236}">
              <a16:creationId xmlns:a16="http://schemas.microsoft.com/office/drawing/2014/main" id="{A59F4A31-9D97-459F-AF1C-63B390243185}"/>
            </a:ext>
          </a:extLst>
        </xdr:cNvPr>
        <xdr:cNvPicPr>
          <a:picLocks noChangeAspect="1"/>
        </xdr:cNvPicPr>
      </xdr:nvPicPr>
      <xdr:blipFill rotWithShape="1">
        <a:blip xmlns:r="http://schemas.openxmlformats.org/officeDocument/2006/relationships" r:embed="rId7">
          <a:extLst>
            <a:ext uri="{BEBA8EAE-BF5A-486C-A8C5-ECC9F3942E4B}">
              <a14:imgProps xmlns:a14="http://schemas.microsoft.com/office/drawing/2010/main">
                <a14:imgLayer r:embed="rId8">
                  <a14:imgEffect>
                    <a14:backgroundRemoval t="26389" b="91821" l="14428" r="85572"/>
                  </a14:imgEffect>
                </a14:imgLayer>
              </a14:imgProps>
            </a:ext>
          </a:extLst>
        </a:blip>
        <a:srcRect l="5535" t="18210" r="5535" b="-2717"/>
        <a:stretch>
          <a:fillRect/>
        </a:stretch>
      </xdr:blipFill>
      <xdr:spPr>
        <a:xfrm>
          <a:off x="8412480" y="525780"/>
          <a:ext cx="541019" cy="510540"/>
        </a:xfrm>
        <a:prstGeom prst="rect">
          <a:avLst/>
        </a:prstGeom>
      </xdr:spPr>
    </xdr:pic>
    <xdr:clientData/>
  </xdr:oneCellAnchor>
  <xdr:oneCellAnchor>
    <xdr:from>
      <xdr:col>6</xdr:col>
      <xdr:colOff>830580</xdr:colOff>
      <xdr:row>4</xdr:row>
      <xdr:rowOff>76200</xdr:rowOff>
    </xdr:from>
    <xdr:ext cx="541019" cy="510540"/>
    <xdr:pic macro="[0]!hidechart3">
      <xdr:nvPicPr>
        <xdr:cNvPr id="26" name="OPEN EYE 3">
          <a:extLst>
            <a:ext uri="{FF2B5EF4-FFF2-40B4-BE49-F238E27FC236}">
              <a16:creationId xmlns:a16="http://schemas.microsoft.com/office/drawing/2014/main" id="{7CB4EBE0-6B5E-4E31-BFE7-1B6CCEBD96FE}"/>
            </a:ext>
          </a:extLst>
        </xdr:cNvPr>
        <xdr:cNvPicPr>
          <a:picLocks noChangeAspect="1"/>
        </xdr:cNvPicPr>
      </xdr:nvPicPr>
      <xdr:blipFill rotWithShape="1">
        <a:blip xmlns:r="http://schemas.openxmlformats.org/officeDocument/2006/relationships" r:embed="rId7">
          <a:extLst>
            <a:ext uri="{BEBA8EAE-BF5A-486C-A8C5-ECC9F3942E4B}">
              <a14:imgProps xmlns:a14="http://schemas.microsoft.com/office/drawing/2010/main">
                <a14:imgLayer r:embed="rId8">
                  <a14:imgEffect>
                    <a14:backgroundRemoval t="26389" b="91821" l="14428" r="85572"/>
                  </a14:imgEffect>
                </a14:imgLayer>
              </a14:imgProps>
            </a:ext>
          </a:extLst>
        </a:blip>
        <a:srcRect l="5535" t="18210" r="5535" b="-2717"/>
        <a:stretch>
          <a:fillRect/>
        </a:stretch>
      </xdr:blipFill>
      <xdr:spPr>
        <a:xfrm>
          <a:off x="4640580" y="525780"/>
          <a:ext cx="541019" cy="510540"/>
        </a:xfrm>
        <a:prstGeom prst="rect">
          <a:avLst/>
        </a:prstGeom>
      </xdr:spPr>
    </xdr:pic>
    <xdr:clientData/>
  </xdr:oneCellAnchor>
  <xdr:oneCellAnchor>
    <xdr:from>
      <xdr:col>3</xdr:col>
      <xdr:colOff>830580</xdr:colOff>
      <xdr:row>4</xdr:row>
      <xdr:rowOff>76200</xdr:rowOff>
    </xdr:from>
    <xdr:ext cx="541019" cy="510540"/>
    <xdr:pic macro="[0]!HIDECHART2">
      <xdr:nvPicPr>
        <xdr:cNvPr id="20" name="OPEN EYE 2">
          <a:extLst>
            <a:ext uri="{FF2B5EF4-FFF2-40B4-BE49-F238E27FC236}">
              <a16:creationId xmlns:a16="http://schemas.microsoft.com/office/drawing/2014/main" id="{CD58F635-A43F-41A0-8DDA-4D615E841E53}"/>
            </a:ext>
          </a:extLst>
        </xdr:cNvPr>
        <xdr:cNvPicPr>
          <a:picLocks noChangeAspect="1"/>
        </xdr:cNvPicPr>
      </xdr:nvPicPr>
      <xdr:blipFill rotWithShape="1">
        <a:blip xmlns:r="http://schemas.openxmlformats.org/officeDocument/2006/relationships" r:embed="rId7">
          <a:extLst>
            <a:ext uri="{BEBA8EAE-BF5A-486C-A8C5-ECC9F3942E4B}">
              <a14:imgProps xmlns:a14="http://schemas.microsoft.com/office/drawing/2010/main">
                <a14:imgLayer r:embed="rId8">
                  <a14:imgEffect>
                    <a14:backgroundRemoval t="26389" b="91821" l="14428" r="85572"/>
                  </a14:imgEffect>
                </a14:imgLayer>
              </a14:imgProps>
            </a:ext>
          </a:extLst>
        </a:blip>
        <a:srcRect l="5535" t="18210" r="5535" b="-2717"/>
        <a:stretch>
          <a:fillRect/>
        </a:stretch>
      </xdr:blipFill>
      <xdr:spPr>
        <a:xfrm>
          <a:off x="830580" y="525780"/>
          <a:ext cx="541019" cy="510540"/>
        </a:xfrm>
        <a:prstGeom prst="rect">
          <a:avLst/>
        </a:prstGeom>
      </xdr:spPr>
    </xdr:pic>
    <xdr:clientData/>
  </xdr:oneCellAnchor>
  <xdr:twoCellAnchor editAs="oneCell">
    <xdr:from>
      <xdr:col>0</xdr:col>
      <xdr:colOff>830580</xdr:colOff>
      <xdr:row>4</xdr:row>
      <xdr:rowOff>76200</xdr:rowOff>
    </xdr:from>
    <xdr:to>
      <xdr:col>1</xdr:col>
      <xdr:colOff>45719</xdr:colOff>
      <xdr:row>6</xdr:row>
      <xdr:rowOff>220979</xdr:rowOff>
    </xdr:to>
    <xdr:pic macro="[0]!HIDECHART1">
      <xdr:nvPicPr>
        <xdr:cNvPr id="3" name="OPEN EYE 1">
          <a:extLst>
            <a:ext uri="{FF2B5EF4-FFF2-40B4-BE49-F238E27FC236}">
              <a16:creationId xmlns:a16="http://schemas.microsoft.com/office/drawing/2014/main" id="{2299869E-832A-4BB4-99C7-B4E20F0436F7}"/>
            </a:ext>
          </a:extLst>
        </xdr:cNvPr>
        <xdr:cNvPicPr>
          <a:picLocks noChangeAspect="1"/>
        </xdr:cNvPicPr>
      </xdr:nvPicPr>
      <xdr:blipFill rotWithShape="1">
        <a:blip xmlns:r="http://schemas.openxmlformats.org/officeDocument/2006/relationships" r:embed="rId7">
          <a:extLst>
            <a:ext uri="{BEBA8EAE-BF5A-486C-A8C5-ECC9F3942E4B}">
              <a14:imgProps xmlns:a14="http://schemas.microsoft.com/office/drawing/2010/main">
                <a14:imgLayer r:embed="rId8">
                  <a14:imgEffect>
                    <a14:backgroundRemoval t="26389" b="91821" l="14428" r="85572"/>
                  </a14:imgEffect>
                </a14:imgLayer>
              </a14:imgProps>
            </a:ext>
          </a:extLst>
        </a:blip>
        <a:srcRect l="5535" t="18210" r="5535" b="-2717"/>
        <a:stretch>
          <a:fillRect/>
        </a:stretch>
      </xdr:blipFill>
      <xdr:spPr>
        <a:xfrm>
          <a:off x="830580" y="525780"/>
          <a:ext cx="541019" cy="510540"/>
        </a:xfrm>
        <a:prstGeom prst="rect">
          <a:avLst/>
        </a:prstGeom>
      </xdr:spPr>
    </xdr:pic>
    <xdr:clientData/>
  </xdr:twoCellAnchor>
  <xdr:twoCellAnchor>
    <xdr:from>
      <xdr:col>10</xdr:col>
      <xdr:colOff>1402080</xdr:colOff>
      <xdr:row>4</xdr:row>
      <xdr:rowOff>68580</xdr:rowOff>
    </xdr:from>
    <xdr:to>
      <xdr:col>10</xdr:col>
      <xdr:colOff>2380488</xdr:colOff>
      <xdr:row>6</xdr:row>
      <xdr:rowOff>187452</xdr:rowOff>
    </xdr:to>
    <xdr:sp macro="" textlink="">
      <xdr:nvSpPr>
        <xdr:cNvPr id="41" name="Arrow: Left 4">
          <a:extLst>
            <a:ext uri="{FF2B5EF4-FFF2-40B4-BE49-F238E27FC236}">
              <a16:creationId xmlns:a16="http://schemas.microsoft.com/office/drawing/2014/main" id="{54941271-8B5C-4AD1-A5EC-DF740CBB56E7}"/>
            </a:ext>
          </a:extLst>
        </xdr:cNvPr>
        <xdr:cNvSpPr/>
      </xdr:nvSpPr>
      <xdr:spPr>
        <a:xfrm>
          <a:off x="10424160" y="518160"/>
          <a:ext cx="841248" cy="484632"/>
        </a:xfrm>
        <a:prstGeom prst="lef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chemeClr val="bg1"/>
              </a:solidFill>
            </a:rPr>
            <a:t>RESULTS</a:t>
          </a:r>
        </a:p>
      </xdr:txBody>
    </xdr:sp>
    <xdr:clientData/>
  </xdr:twoCellAnchor>
  <xdr:twoCellAnchor>
    <xdr:from>
      <xdr:col>7</xdr:col>
      <xdr:colOff>1402080</xdr:colOff>
      <xdr:row>4</xdr:row>
      <xdr:rowOff>68580</xdr:rowOff>
    </xdr:from>
    <xdr:to>
      <xdr:col>7</xdr:col>
      <xdr:colOff>2380488</xdr:colOff>
      <xdr:row>6</xdr:row>
      <xdr:rowOff>187452</xdr:rowOff>
    </xdr:to>
    <xdr:sp macro="" textlink="">
      <xdr:nvSpPr>
        <xdr:cNvPr id="28" name="Arrow: Left 3">
          <a:extLst>
            <a:ext uri="{FF2B5EF4-FFF2-40B4-BE49-F238E27FC236}">
              <a16:creationId xmlns:a16="http://schemas.microsoft.com/office/drawing/2014/main" id="{8929F17F-1BBA-4860-835D-21FCE67237EC}"/>
            </a:ext>
          </a:extLst>
        </xdr:cNvPr>
        <xdr:cNvSpPr/>
      </xdr:nvSpPr>
      <xdr:spPr>
        <a:xfrm>
          <a:off x="6614160" y="518160"/>
          <a:ext cx="886968" cy="484632"/>
        </a:xfrm>
        <a:prstGeom prst="lef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chemeClr val="bg1"/>
              </a:solidFill>
            </a:rPr>
            <a:t>RESULTS</a:t>
          </a:r>
        </a:p>
      </xdr:txBody>
    </xdr:sp>
    <xdr:clientData/>
  </xdr:twoCellAnchor>
  <xdr:twoCellAnchor>
    <xdr:from>
      <xdr:col>4</xdr:col>
      <xdr:colOff>1402080</xdr:colOff>
      <xdr:row>4</xdr:row>
      <xdr:rowOff>68580</xdr:rowOff>
    </xdr:from>
    <xdr:to>
      <xdr:col>4</xdr:col>
      <xdr:colOff>2380488</xdr:colOff>
      <xdr:row>6</xdr:row>
      <xdr:rowOff>187452</xdr:rowOff>
    </xdr:to>
    <xdr:sp macro="" textlink="">
      <xdr:nvSpPr>
        <xdr:cNvPr id="22" name="Arrow: Left 2">
          <a:extLst>
            <a:ext uri="{FF2B5EF4-FFF2-40B4-BE49-F238E27FC236}">
              <a16:creationId xmlns:a16="http://schemas.microsoft.com/office/drawing/2014/main" id="{42068035-091A-42B0-B6A2-916BCE478FA5}"/>
            </a:ext>
          </a:extLst>
        </xdr:cNvPr>
        <xdr:cNvSpPr/>
      </xdr:nvSpPr>
      <xdr:spPr>
        <a:xfrm>
          <a:off x="2727960" y="518160"/>
          <a:ext cx="978408" cy="484632"/>
        </a:xfrm>
        <a:prstGeom prst="lef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chemeClr val="bg1"/>
              </a:solidFill>
            </a:rPr>
            <a:t>RESULTS</a:t>
          </a:r>
        </a:p>
      </xdr:txBody>
    </xdr:sp>
    <xdr:clientData/>
  </xdr:twoCellAnchor>
  <xdr:twoCellAnchor>
    <xdr:from>
      <xdr:col>1</xdr:col>
      <xdr:colOff>1402080</xdr:colOff>
      <xdr:row>4</xdr:row>
      <xdr:rowOff>68580</xdr:rowOff>
    </xdr:from>
    <xdr:to>
      <xdr:col>1</xdr:col>
      <xdr:colOff>2380488</xdr:colOff>
      <xdr:row>6</xdr:row>
      <xdr:rowOff>187452</xdr:rowOff>
    </xdr:to>
    <xdr:sp macro="" textlink="">
      <xdr:nvSpPr>
        <xdr:cNvPr id="6" name="Arrow: Left 1">
          <a:extLst>
            <a:ext uri="{FF2B5EF4-FFF2-40B4-BE49-F238E27FC236}">
              <a16:creationId xmlns:a16="http://schemas.microsoft.com/office/drawing/2014/main" id="{506FCE09-FC0A-B021-648F-6CD91445F2C6}"/>
            </a:ext>
          </a:extLst>
        </xdr:cNvPr>
        <xdr:cNvSpPr/>
      </xdr:nvSpPr>
      <xdr:spPr>
        <a:xfrm>
          <a:off x="2727960" y="518160"/>
          <a:ext cx="978408" cy="484632"/>
        </a:xfrm>
        <a:prstGeom prst="leftArrow">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chemeClr val="bg1"/>
              </a:solidFill>
            </a:rPr>
            <a:t>RESULTS</a:t>
          </a:r>
        </a:p>
      </xdr:txBody>
    </xdr:sp>
    <xdr:clientData/>
  </xdr:twoCellAnchor>
  <xdr:twoCellAnchor>
    <xdr:from>
      <xdr:col>9</xdr:col>
      <xdr:colOff>0</xdr:colOff>
      <xdr:row>4</xdr:row>
      <xdr:rowOff>68580</xdr:rowOff>
    </xdr:from>
    <xdr:to>
      <xdr:col>9</xdr:col>
      <xdr:colOff>754380</xdr:colOff>
      <xdr:row>6</xdr:row>
      <xdr:rowOff>187452</xdr:rowOff>
    </xdr:to>
    <xdr:sp macro="" textlink="">
      <xdr:nvSpPr>
        <xdr:cNvPr id="40" name="Arrow: Right 4">
          <a:extLst>
            <a:ext uri="{FF2B5EF4-FFF2-40B4-BE49-F238E27FC236}">
              <a16:creationId xmlns:a16="http://schemas.microsoft.com/office/drawing/2014/main" id="{25644C41-54FE-4AC7-96AB-E44B8CCFB862}"/>
            </a:ext>
          </a:extLst>
        </xdr:cNvPr>
        <xdr:cNvSpPr/>
      </xdr:nvSpPr>
      <xdr:spPr>
        <a:xfrm>
          <a:off x="7581900" y="518160"/>
          <a:ext cx="754380" cy="484632"/>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1100" b="1">
              <a:solidFill>
                <a:schemeClr val="bg1"/>
              </a:solidFill>
            </a:rPr>
            <a:t>CHART</a:t>
          </a:r>
        </a:p>
      </xdr:txBody>
    </xdr:sp>
    <xdr:clientData/>
  </xdr:twoCellAnchor>
  <xdr:twoCellAnchor>
    <xdr:from>
      <xdr:col>6</xdr:col>
      <xdr:colOff>0</xdr:colOff>
      <xdr:row>4</xdr:row>
      <xdr:rowOff>68580</xdr:rowOff>
    </xdr:from>
    <xdr:to>
      <xdr:col>6</xdr:col>
      <xdr:colOff>754380</xdr:colOff>
      <xdr:row>6</xdr:row>
      <xdr:rowOff>187452</xdr:rowOff>
    </xdr:to>
    <xdr:sp macro="" textlink="">
      <xdr:nvSpPr>
        <xdr:cNvPr id="27" name="Arrow: Right 3">
          <a:extLst>
            <a:ext uri="{FF2B5EF4-FFF2-40B4-BE49-F238E27FC236}">
              <a16:creationId xmlns:a16="http://schemas.microsoft.com/office/drawing/2014/main" id="{347A4E57-94DE-4D0A-A138-818301398A6F}"/>
            </a:ext>
          </a:extLst>
        </xdr:cNvPr>
        <xdr:cNvSpPr/>
      </xdr:nvSpPr>
      <xdr:spPr>
        <a:xfrm>
          <a:off x="3810000" y="518160"/>
          <a:ext cx="754380" cy="484632"/>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1100" b="1">
              <a:solidFill>
                <a:schemeClr val="bg1"/>
              </a:solidFill>
            </a:rPr>
            <a:t>CHART</a:t>
          </a:r>
        </a:p>
      </xdr:txBody>
    </xdr:sp>
    <xdr:clientData/>
  </xdr:twoCellAnchor>
  <xdr:twoCellAnchor>
    <xdr:from>
      <xdr:col>3</xdr:col>
      <xdr:colOff>0</xdr:colOff>
      <xdr:row>4</xdr:row>
      <xdr:rowOff>68580</xdr:rowOff>
    </xdr:from>
    <xdr:to>
      <xdr:col>3</xdr:col>
      <xdr:colOff>754380</xdr:colOff>
      <xdr:row>6</xdr:row>
      <xdr:rowOff>187452</xdr:rowOff>
    </xdr:to>
    <xdr:sp macro="" textlink="">
      <xdr:nvSpPr>
        <xdr:cNvPr id="21" name="Arrow: Right 2">
          <a:extLst>
            <a:ext uri="{FF2B5EF4-FFF2-40B4-BE49-F238E27FC236}">
              <a16:creationId xmlns:a16="http://schemas.microsoft.com/office/drawing/2014/main" id="{DCC329FA-7750-4ECE-A567-366CA4BCFA17}"/>
            </a:ext>
          </a:extLst>
        </xdr:cNvPr>
        <xdr:cNvSpPr/>
      </xdr:nvSpPr>
      <xdr:spPr>
        <a:xfrm>
          <a:off x="0" y="518160"/>
          <a:ext cx="754380" cy="484632"/>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1100" b="1">
              <a:solidFill>
                <a:schemeClr val="bg1"/>
              </a:solidFill>
            </a:rPr>
            <a:t>CHART</a:t>
          </a:r>
        </a:p>
      </xdr:txBody>
    </xdr:sp>
    <xdr:clientData/>
  </xdr:twoCellAnchor>
  <xdr:twoCellAnchor>
    <xdr:from>
      <xdr:col>0</xdr:col>
      <xdr:colOff>0</xdr:colOff>
      <xdr:row>4</xdr:row>
      <xdr:rowOff>68580</xdr:rowOff>
    </xdr:from>
    <xdr:to>
      <xdr:col>0</xdr:col>
      <xdr:colOff>754380</xdr:colOff>
      <xdr:row>6</xdr:row>
      <xdr:rowOff>187452</xdr:rowOff>
    </xdr:to>
    <xdr:sp macro="" textlink="">
      <xdr:nvSpPr>
        <xdr:cNvPr id="2" name="Arrow: Right 1">
          <a:extLst>
            <a:ext uri="{FF2B5EF4-FFF2-40B4-BE49-F238E27FC236}">
              <a16:creationId xmlns:a16="http://schemas.microsoft.com/office/drawing/2014/main" id="{52483CDB-4FF3-C207-293A-204E12D99960}"/>
            </a:ext>
          </a:extLst>
        </xdr:cNvPr>
        <xdr:cNvSpPr/>
      </xdr:nvSpPr>
      <xdr:spPr>
        <a:xfrm>
          <a:off x="0" y="739140"/>
          <a:ext cx="754380" cy="484632"/>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1100" b="1">
              <a:solidFill>
                <a:schemeClr val="bg1"/>
              </a:solidFill>
            </a:rPr>
            <a:t>CHART</a:t>
          </a:r>
        </a:p>
      </xdr:txBody>
    </xdr:sp>
    <xdr:clientData/>
  </xdr:twoCellAnchor>
  <xdr:twoCellAnchor editAs="oneCell">
    <xdr:from>
      <xdr:col>11</xdr:col>
      <xdr:colOff>157335</xdr:colOff>
      <xdr:row>3</xdr:row>
      <xdr:rowOff>641686</xdr:rowOff>
    </xdr:from>
    <xdr:to>
      <xdr:col>17</xdr:col>
      <xdr:colOff>180473</xdr:colOff>
      <xdr:row>17</xdr:row>
      <xdr:rowOff>10027</xdr:rowOff>
    </xdr:to>
    <mc:AlternateContent xmlns:mc="http://schemas.openxmlformats.org/markup-compatibility/2006" xmlns:a14="http://schemas.microsoft.com/office/drawing/2010/main">
      <mc:Choice Requires="a14">
        <xdr:graphicFrame macro="">
          <xdr:nvGraphicFramePr>
            <xdr:cNvPr id="8" name="EMP_Name 1">
              <a:extLst>
                <a:ext uri="{FF2B5EF4-FFF2-40B4-BE49-F238E27FC236}">
                  <a16:creationId xmlns:a16="http://schemas.microsoft.com/office/drawing/2014/main" id="{B7A48ECE-2A09-59B5-9A54-AE4EB84A85C2}"/>
                </a:ext>
              </a:extLst>
            </xdr:cNvPr>
            <xdr:cNvGraphicFramePr/>
          </xdr:nvGraphicFramePr>
          <xdr:xfrm>
            <a:off x="0" y="0"/>
            <a:ext cx="0" cy="0"/>
          </xdr:xfrm>
          <a:graphic>
            <a:graphicData uri="http://schemas.microsoft.com/office/drawing/2010/slicer">
              <sle:slicer xmlns:sle="http://schemas.microsoft.com/office/drawing/2010/slicer" name="EMP_Name 1"/>
            </a:graphicData>
          </a:graphic>
        </xdr:graphicFrame>
      </mc:Choice>
      <mc:Fallback xmlns="">
        <xdr:sp macro="" textlink="">
          <xdr:nvSpPr>
            <xdr:cNvPr id="0" name=""/>
            <xdr:cNvSpPr>
              <a:spLocks noTextEdit="1"/>
            </xdr:cNvSpPr>
          </xdr:nvSpPr>
          <xdr:spPr>
            <a:xfrm>
              <a:off x="15076494" y="1082844"/>
              <a:ext cx="2439480" cy="25266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312418</xdr:colOff>
      <xdr:row>33</xdr:row>
      <xdr:rowOff>146384</xdr:rowOff>
    </xdr:from>
    <xdr:to>
      <xdr:col>17</xdr:col>
      <xdr:colOff>230604</xdr:colOff>
      <xdr:row>48</xdr:row>
      <xdr:rowOff>150394</xdr:rowOff>
    </xdr:to>
    <mc:AlternateContent xmlns:mc="http://schemas.openxmlformats.org/markup-compatibility/2006" xmlns:a14="http://schemas.microsoft.com/office/drawing/2010/main">
      <mc:Choice Requires="a14">
        <xdr:graphicFrame macro="">
          <xdr:nvGraphicFramePr>
            <xdr:cNvPr id="9" name="Work Efficiency  1">
              <a:extLst>
                <a:ext uri="{FF2B5EF4-FFF2-40B4-BE49-F238E27FC236}">
                  <a16:creationId xmlns:a16="http://schemas.microsoft.com/office/drawing/2014/main" id="{F1166579-2250-D7D5-7741-76D515DA04D5}"/>
                </a:ext>
              </a:extLst>
            </xdr:cNvPr>
            <xdr:cNvGraphicFramePr/>
          </xdr:nvGraphicFramePr>
          <xdr:xfrm>
            <a:off x="0" y="0"/>
            <a:ext cx="0" cy="0"/>
          </xdr:xfrm>
          <a:graphic>
            <a:graphicData uri="http://schemas.microsoft.com/office/drawing/2010/slicer">
              <sle:slicer xmlns:sle="http://schemas.microsoft.com/office/drawing/2010/slicer" name="Work Efficiency  1"/>
            </a:graphicData>
          </a:graphic>
        </xdr:graphicFrame>
      </mc:Choice>
      <mc:Fallback xmlns="">
        <xdr:sp macro="" textlink="">
          <xdr:nvSpPr>
            <xdr:cNvPr id="0" name=""/>
            <xdr:cNvSpPr>
              <a:spLocks noTextEdit="1"/>
            </xdr:cNvSpPr>
          </xdr:nvSpPr>
          <xdr:spPr>
            <a:xfrm>
              <a:off x="17066393" y="6633410"/>
              <a:ext cx="1833212" cy="27111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198120</xdr:colOff>
      <xdr:row>17</xdr:row>
      <xdr:rowOff>150396</xdr:rowOff>
    </xdr:from>
    <xdr:to>
      <xdr:col>17</xdr:col>
      <xdr:colOff>200526</xdr:colOff>
      <xdr:row>33</xdr:row>
      <xdr:rowOff>40107</xdr:rowOff>
    </xdr:to>
    <mc:AlternateContent xmlns:mc="http://schemas.openxmlformats.org/markup-compatibility/2006" xmlns:a14="http://schemas.microsoft.com/office/drawing/2010/main">
      <mc:Choice Requires="a14">
        <xdr:graphicFrame macro="">
          <xdr:nvGraphicFramePr>
            <xdr:cNvPr id="10" name="Attended Calls 1">
              <a:extLst>
                <a:ext uri="{FF2B5EF4-FFF2-40B4-BE49-F238E27FC236}">
                  <a16:creationId xmlns:a16="http://schemas.microsoft.com/office/drawing/2014/main" id="{CE56A1AB-B02D-D159-FFF3-5E3CDFBFF140}"/>
                </a:ext>
              </a:extLst>
            </xdr:cNvPr>
            <xdr:cNvGraphicFramePr/>
          </xdr:nvGraphicFramePr>
          <xdr:xfrm>
            <a:off x="0" y="0"/>
            <a:ext cx="0" cy="0"/>
          </xdr:xfrm>
          <a:graphic>
            <a:graphicData uri="http://schemas.microsoft.com/office/drawing/2010/slicer">
              <sle:slicer xmlns:sle="http://schemas.microsoft.com/office/drawing/2010/slicer" name="Attended Calls 1"/>
            </a:graphicData>
          </a:graphic>
        </xdr:graphicFrame>
      </mc:Choice>
      <mc:Fallback xmlns="">
        <xdr:sp macro="" textlink="">
          <xdr:nvSpPr>
            <xdr:cNvPr id="0" name=""/>
            <xdr:cNvSpPr>
              <a:spLocks noTextEdit="1"/>
            </xdr:cNvSpPr>
          </xdr:nvSpPr>
          <xdr:spPr>
            <a:xfrm>
              <a:off x="15117278" y="3749843"/>
              <a:ext cx="2398695" cy="27772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182076</xdr:colOff>
      <xdr:row>33</xdr:row>
      <xdr:rowOff>150395</xdr:rowOff>
    </xdr:from>
    <xdr:to>
      <xdr:col>11</xdr:col>
      <xdr:colOff>30079</xdr:colOff>
      <xdr:row>48</xdr:row>
      <xdr:rowOff>170447</xdr:rowOff>
    </xdr:to>
    <mc:AlternateContent xmlns:mc="http://schemas.openxmlformats.org/markup-compatibility/2006" xmlns:a14="http://schemas.microsoft.com/office/drawing/2010/main">
      <mc:Choice Requires="a14">
        <xdr:graphicFrame macro="">
          <xdr:nvGraphicFramePr>
            <xdr:cNvPr id="11" name="Active With Cust. 1">
              <a:extLst>
                <a:ext uri="{FF2B5EF4-FFF2-40B4-BE49-F238E27FC236}">
                  <a16:creationId xmlns:a16="http://schemas.microsoft.com/office/drawing/2014/main" id="{DBF3B999-E84C-BCB9-D8AA-A6D8D50E2774}"/>
                </a:ext>
              </a:extLst>
            </xdr:cNvPr>
            <xdr:cNvGraphicFramePr/>
          </xdr:nvGraphicFramePr>
          <xdr:xfrm>
            <a:off x="0" y="0"/>
            <a:ext cx="0" cy="0"/>
          </xdr:xfrm>
          <a:graphic>
            <a:graphicData uri="http://schemas.microsoft.com/office/drawing/2010/slicer">
              <sle:slicer xmlns:sle="http://schemas.microsoft.com/office/drawing/2010/slicer" name="Active With Cust. 1"/>
            </a:graphicData>
          </a:graphic>
        </xdr:graphicFrame>
      </mc:Choice>
      <mc:Fallback xmlns="">
        <xdr:sp macro="" textlink="">
          <xdr:nvSpPr>
            <xdr:cNvPr id="0" name=""/>
            <xdr:cNvSpPr>
              <a:spLocks noTextEdit="1"/>
            </xdr:cNvSpPr>
          </xdr:nvSpPr>
          <xdr:spPr>
            <a:xfrm>
              <a:off x="12895444" y="6637421"/>
              <a:ext cx="2053793" cy="27271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190501</xdr:colOff>
      <xdr:row>33</xdr:row>
      <xdr:rowOff>150392</xdr:rowOff>
    </xdr:from>
    <xdr:to>
      <xdr:col>14</xdr:col>
      <xdr:colOff>190500</xdr:colOff>
      <xdr:row>48</xdr:row>
      <xdr:rowOff>160421</xdr:rowOff>
    </xdr:to>
    <mc:AlternateContent xmlns:mc="http://schemas.openxmlformats.org/markup-compatibility/2006" xmlns:a14="http://schemas.microsoft.com/office/drawing/2010/main">
      <mc:Choice Requires="a14">
        <xdr:graphicFrame macro="">
          <xdr:nvGraphicFramePr>
            <xdr:cNvPr id="12" name="Total Break Taken">
              <a:extLst>
                <a:ext uri="{FF2B5EF4-FFF2-40B4-BE49-F238E27FC236}">
                  <a16:creationId xmlns:a16="http://schemas.microsoft.com/office/drawing/2014/main" id="{F6AB2460-43BC-51E4-EE84-82E125D7197F}"/>
                </a:ext>
              </a:extLst>
            </xdr:cNvPr>
            <xdr:cNvGraphicFramePr/>
          </xdr:nvGraphicFramePr>
          <xdr:xfrm>
            <a:off x="0" y="0"/>
            <a:ext cx="0" cy="0"/>
          </xdr:xfrm>
          <a:graphic>
            <a:graphicData uri="http://schemas.microsoft.com/office/drawing/2010/slicer">
              <sle:slicer xmlns:sle="http://schemas.microsoft.com/office/drawing/2010/slicer" name="Total Break Taken"/>
            </a:graphicData>
          </a:graphic>
        </xdr:graphicFrame>
      </mc:Choice>
      <mc:Fallback xmlns="">
        <xdr:sp macro="" textlink="">
          <xdr:nvSpPr>
            <xdr:cNvPr id="0" name=""/>
            <xdr:cNvSpPr>
              <a:spLocks noTextEdit="1"/>
            </xdr:cNvSpPr>
          </xdr:nvSpPr>
          <xdr:spPr>
            <a:xfrm>
              <a:off x="15109659" y="6637418"/>
              <a:ext cx="1834815" cy="27171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xdr:colOff>
      <xdr:row>33</xdr:row>
      <xdr:rowOff>180473</xdr:rowOff>
    </xdr:from>
    <xdr:to>
      <xdr:col>10</xdr:col>
      <xdr:colOff>20054</xdr:colOff>
      <xdr:row>40</xdr:row>
      <xdr:rowOff>180473</xdr:rowOff>
    </xdr:to>
    <mc:AlternateContent xmlns:mc="http://schemas.openxmlformats.org/markup-compatibility/2006" xmlns:a14="http://schemas.microsoft.com/office/drawing/2010/main">
      <mc:Choice Requires="a14">
        <xdr:graphicFrame macro="">
          <xdr:nvGraphicFramePr>
            <xdr:cNvPr id="30" name="CITY">
              <a:extLst>
                <a:ext uri="{FF2B5EF4-FFF2-40B4-BE49-F238E27FC236}">
                  <a16:creationId xmlns:a16="http://schemas.microsoft.com/office/drawing/2014/main" id="{7BEF3B0B-05B3-7F85-2524-24CDA1FC716A}"/>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1329740" y="6667499"/>
              <a:ext cx="1403682" cy="12633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27.49142233796" createdVersion="8" refreshedVersion="8" minRefreshableVersion="3" recordCount="141" xr:uid="{C0B28D3B-F075-4D63-8786-F8685B28DEEB}">
  <cacheSource type="worksheet">
    <worksheetSource ref="G4:H145" sheet="Sheet1"/>
  </cacheSource>
  <cacheFields count="2">
    <cacheField name=" TOTAL CALL TARGET" numFmtId="0">
      <sharedItems containsSemiMixedTypes="0" containsString="0" containsNumber="1" containsInteger="1" minValue="100" maxValue="100"/>
    </cacheField>
    <cacheField name="ACTUAL CALL" numFmtId="0">
      <sharedItems containsSemiMixedTypes="0" containsString="0" containsNumber="1" containsInteger="1" minValue="23" maxValue="3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29.68814027778" createdVersion="8" refreshedVersion="8" minRefreshableVersion="3" recordCount="149" xr:uid="{90FA114F-0751-4F45-9E6A-4B30350CDF13}">
  <cacheSource type="worksheet">
    <worksheetSource ref="A1:I150" sheet="Summary"/>
  </cacheSource>
  <cacheFields count="9">
    <cacheField name="Employee" numFmtId="0">
      <sharedItems/>
    </cacheField>
    <cacheField name="EMP_Name" numFmtId="0">
      <sharedItems count="141">
        <s v="Abdul Hamid"/>
        <s v="Afzal Husain"/>
        <s v="Anamika Gupta"/>
        <s v="Anikuttan"/>
        <s v="Anil Kumar"/>
        <s v="Anita Dixit"/>
        <s v="Anita Ghore"/>
        <s v="Anjali Deoram"/>
        <s v="Anjali Sahay"/>
        <s v="Annu Latika"/>
        <s v="Anoop Narayan"/>
        <s v="Anoop Raj"/>
        <s v="Anubhuti Gupta"/>
        <s v="Arun Kumar"/>
        <s v="Ashish Kumar"/>
        <s v="Ashok Kumar"/>
        <s v="Ashok Mahto"/>
        <s v="Atul Kumar"/>
        <s v="Azam"/>
        <s v="Bhagwat Singh"/>
        <s v="Bindu Nair"/>
        <s v="Daleep Singh"/>
        <s v="Deepak Kumar"/>
        <s v="Deepika Nigam"/>
        <s v="Dinesh Kumar"/>
        <s v="Hari Kumar"/>
        <s v="Heeramani Choudhary"/>
        <s v="Indra Pal"/>
        <s v="Indra Singh"/>
        <s v="Jagdish Chandra"/>
        <s v="Jairaj Vatham"/>
        <s v="Janardan Mishra"/>
        <s v="Jitendra Kumar"/>
        <s v="John D'Costa"/>
        <s v="Julie S"/>
        <s v="Jyoti Tulsani"/>
        <s v="Kahkasha Parveen"/>
        <s v="Kailash Nath"/>
        <s v="Kalpana Agrawal"/>
        <s v="Kamini Kumar"/>
        <s v="Kamini Tiwari"/>
        <s v="Kavita Sharma"/>
        <s v="Kiran Khubchandani"/>
        <s v="Kisun Sah"/>
        <s v="Krishana Kumar"/>
        <s v="Kunj Bihari"/>
        <s v="Leena George"/>
        <s v="Lilly Lucy"/>
        <s v="Mangal Singh"/>
        <s v="Manisha Shrivastava"/>
        <s v="Manjusha Sinha"/>
        <s v="ManjuTiwari Lab"/>
        <s v="Manoj Kumar"/>
        <s v="Masroor Adil"/>
        <s v="Meena Zinjare"/>
        <s v="Mehnaz Khan"/>
        <s v="Mercy Thampi"/>
        <s v="Miny Mole"/>
        <s v="Mohd Rafi"/>
        <s v="Mubeen Khan"/>
        <s v="Mukesh Nagar"/>
        <s v="Nandu Kumar"/>
        <s v="Narayan Singh"/>
        <s v="Neeraj Saxena"/>
        <s v="Neeru Mehta"/>
        <s v="Nikita Panwalkar"/>
        <s v="Nitin Bhatia"/>
        <s v="Om Prakash"/>
        <s v="Omprakash O"/>
        <s v="Owais Mohd"/>
        <s v="Pankaj Shelkey"/>
        <s v="Partha Sarathi"/>
        <s v="Prabha Desikan"/>
        <s v="Pramod Tiwari"/>
        <s v="Prasannakumari S"/>
        <s v="Praveen Kumar"/>
        <s v="Rachel Mathew"/>
        <s v="Rachita Anupam"/>
        <s v="Rachna Chauhan"/>
        <s v="Raj Kumar"/>
        <s v="Rajeev Garg"/>
        <s v="Rajeev Kumar"/>
        <s v="Rajendra Gupta"/>
        <s v="Rajendra Kumar"/>
        <s v="Rajendra Prasad"/>
        <s v="Rajesh Kumar"/>
        <s v="Rajesh Sharma"/>
        <s v="Raji Abraham"/>
        <s v="Rajshree Dhabekar"/>
        <s v="Rakhi Jodhani"/>
        <s v="Ramji Prasad"/>
        <s v="Rashid"/>
        <s v="Rashmi Gajbe"/>
        <s v="Ravi Kumar"/>
        <s v="Ravinder Kaur"/>
        <s v="Rekha Agarwal"/>
        <s v="Rekha Gupta"/>
        <s v="Rekha Jain "/>
        <s v="Renu Pratap"/>
        <s v="Ritu Bhatnagar"/>
        <s v="Rohit Nishchal"/>
        <s v="Roli Bhatnagar"/>
        <s v="Roma Rastogi"/>
        <s v="Roohi Haider"/>
        <s v="Sajid Naqvi"/>
        <s v="Salim"/>
        <s v="Sanjay Hire"/>
        <s v="Sanjiv Subherwal"/>
        <s v="Sanju Ramdas"/>
        <s v="Santosh Kumar"/>
        <s v="Sapna Sharma"/>
        <s v="Saroj Parita"/>
        <s v="Shailaja Kamal"/>
        <s v="Shailendra Barge"/>
        <s v="Shankar Attendant"/>
        <s v="Shashikant Tiwari"/>
        <s v="Sheeba Joseph"/>
        <s v="Sheena Joseph"/>
        <s v="Shephali Jain"/>
        <s v="Shivji Prasad"/>
        <s v="Shubhanjali Joshi"/>
        <s v="Shyamal Malakar"/>
        <s v="Sneh Khan"/>
        <s v="Sonaram Munda"/>
        <s v="Sudama Kumar"/>
        <s v="Sudhir Kumar"/>
        <s v="Sunil Kumar"/>
        <s v="Sunita Chawla"/>
        <s v="Sunita Madnani"/>
        <s v="Surendra Kumar"/>
        <s v="Surendranath Thakur"/>
        <s v="Sushma Khandelwal"/>
        <s v="Swarnlata Borse"/>
        <s v="Syed Naved"/>
        <s v="Syed Saqib"/>
        <s v="Syed Sohail"/>
        <s v="System Operator"/>
        <s v="Tahira Qureshi"/>
        <s v="Tapas Chakraborty"/>
        <s v="Tariq Akhlaq"/>
        <s v="Tasneem Khan"/>
      </sharedItems>
    </cacheField>
    <cacheField name="Total Number of woking hours" numFmtId="165">
      <sharedItems containsSemiMixedTypes="0" containsNonDate="0" containsDate="1" containsString="0" minDate="1899-12-30T04:56:13" maxDate="1899-12-30T09:16:31"/>
    </cacheField>
    <cacheField name="Work Efficiency " numFmtId="165">
      <sharedItems containsSemiMixedTypes="0" containsNonDate="0" containsDate="1" containsString="0" minDate="1899-12-30T00:00:00" maxDate="1899-12-30T05:52:08" count="147">
        <d v="1899-12-30T04:57:59"/>
        <d v="1899-12-30T04:58:34"/>
        <d v="1899-12-30T04:49:35"/>
        <d v="1899-12-30T04:17:32"/>
        <d v="1899-12-30T03:19:44"/>
        <d v="1899-12-30T03:41:19"/>
        <d v="1899-12-30T04:12:46"/>
        <d v="1899-12-30T05:52:08"/>
        <d v="1899-12-30T04:52:29"/>
        <d v="1899-12-30T04:58:07"/>
        <d v="1899-12-30T04:55:28"/>
        <d v="1899-12-30T03:47:42"/>
        <d v="1899-12-30T04:43:40"/>
        <d v="1899-12-30T04:40:27"/>
        <d v="1899-12-30T04:57:35"/>
        <d v="1899-12-30T04:10:25"/>
        <d v="1899-12-30T04:44:12"/>
        <d v="1899-12-30T04:23:03"/>
        <d v="1899-12-30T04:58:14"/>
        <d v="1899-12-30T04:53:40"/>
        <d v="1899-12-30T04:59:50"/>
        <d v="1899-12-30T04:08:57"/>
        <d v="1899-12-30T04:14:05"/>
        <d v="1899-12-30T05:26:56"/>
        <d v="1899-12-30T05:05:16"/>
        <d v="1899-12-30T04:56:45"/>
        <d v="1899-12-30T05:06:20"/>
        <d v="1899-12-30T04:11:43"/>
        <d v="1899-12-30T04:35:28"/>
        <d v="1899-12-30T05:14:16"/>
        <d v="1899-12-30T05:05:03"/>
        <d v="1899-12-30T04:59:15"/>
        <d v="1899-12-30T05:02:08"/>
        <d v="1899-12-30T04:32:56"/>
        <d v="1899-12-30T04:07:41"/>
        <d v="1899-12-30T04:51:30"/>
        <d v="1899-12-30T04:56:12"/>
        <d v="1899-12-30T04:56:56"/>
        <d v="1899-12-30T05:25:18"/>
        <d v="1899-12-30T04:58:27"/>
        <d v="1899-12-30T03:54:19"/>
        <d v="1899-12-30T03:21:30"/>
        <d v="1899-12-30T05:18:49"/>
        <d v="1899-12-30T05:26:19"/>
        <d v="1899-12-30T04:13:15"/>
        <d v="1899-12-30T05:08:41"/>
        <d v="1899-12-30T04:45:06"/>
        <d v="1899-12-30T04:42:13"/>
        <d v="1899-12-30T03:10:50"/>
        <d v="1899-12-30T04:39:06"/>
        <d v="1899-12-30T04:46:25"/>
        <d v="1899-12-30T04:51:12"/>
        <d v="1899-12-30T05:04:01"/>
        <d v="1899-12-30T04:26:11"/>
        <d v="1899-12-30T04:28:58"/>
        <d v="1899-12-30T04:29:51"/>
        <d v="1899-12-30T05:04:35"/>
        <d v="1899-12-30T03:09:32"/>
        <d v="1899-12-30T04:08:21"/>
        <d v="1899-12-30T03:38:44"/>
        <d v="1899-12-30T04:14:06"/>
        <d v="1899-12-30T03:55:15"/>
        <d v="1899-12-30T03:50:43"/>
        <d v="1899-12-30T03:13:40"/>
        <d v="1899-12-30T04:43:39"/>
        <d v="1899-12-30T04:54:19"/>
        <d v="1899-12-30T04:36:09"/>
        <d v="1899-12-30T04:44:15"/>
        <d v="1899-12-30T04:58:45"/>
        <d v="1899-12-30T04:44:56"/>
        <d v="1899-12-30T04:26:21"/>
        <d v="1899-12-30T04:02:05"/>
        <d v="1899-12-30T04:02:50"/>
        <d v="1899-12-30T04:26:54"/>
        <d v="1899-12-30T05:11:39"/>
        <d v="1899-12-30T03:03:51"/>
        <d v="1899-12-30T02:54:03"/>
        <d v="1899-12-30T05:10:46"/>
        <d v="1899-12-30T04:08:46"/>
        <d v="1899-12-30T03:40:53"/>
        <d v="1899-12-30T05:16:03"/>
        <d v="1899-12-30T05:07:23"/>
        <d v="1899-12-30T05:03:51"/>
        <d v="1899-12-30T05:05:29"/>
        <d v="1899-12-30T04:28:51"/>
        <d v="1899-12-30T04:58:12"/>
        <d v="1899-12-30T03:55:22"/>
        <d v="1899-12-30T00:48:33"/>
        <d v="1899-12-30T05:11:50"/>
        <d v="1899-12-30T04:49:40"/>
        <d v="1899-12-30T03:24:21"/>
        <d v="1899-12-30T04:44:35"/>
        <d v="1899-12-30T00:00:00"/>
        <d v="1899-12-30T01:13:06"/>
        <d v="1899-12-30T04:53:04"/>
        <d v="1899-12-30T01:36:08"/>
        <d v="1899-12-30T04:16:57"/>
        <d v="1899-12-30T04:47:03"/>
        <d v="1899-12-30T04:38:57"/>
        <d v="1899-12-30T02:53:07"/>
        <d v="1899-12-30T04:22:52"/>
        <d v="1899-12-30T04:25:29"/>
        <d v="1899-12-30T02:30:29"/>
        <d v="1899-12-30T04:52:13"/>
        <d v="1899-12-30T04:08:30"/>
        <d v="1899-12-30T05:35:38"/>
        <d v="1899-12-30T04:52:11"/>
        <d v="1899-12-30T05:00:37"/>
        <d v="1899-12-30T04:37:42"/>
        <d v="1899-12-30T05:00:14"/>
        <d v="1899-12-30T05:06:07"/>
        <d v="1899-12-30T05:19:44"/>
        <d v="1899-12-30T05:03:10"/>
        <d v="1899-12-30T05:09:57"/>
        <d v="1899-12-30T04:44:19"/>
        <d v="1899-12-30T04:33:29"/>
        <d v="1899-12-30T04:31:42"/>
        <d v="1899-12-30T04:51:46"/>
        <d v="1899-12-30T03:26:09"/>
        <d v="1899-12-30T03:27:15"/>
        <d v="1899-12-30T05:19:10"/>
        <d v="1899-12-30T03:41:07"/>
        <d v="1899-12-30T05:10:26"/>
        <d v="1899-12-30T03:41:29"/>
        <d v="1899-12-30T04:12:39"/>
        <d v="1899-12-30T04:54:52"/>
        <d v="1899-12-30T02:53:35"/>
        <d v="1899-12-30T05:06:25"/>
        <d v="1899-12-30T04:11:10"/>
        <d v="1899-12-30T02:38:49"/>
        <d v="1899-12-30T04:35:36"/>
        <d v="1899-12-30T02:58:37"/>
        <d v="1899-12-30T04:05:03"/>
        <d v="1899-12-30T04:31:57"/>
        <d v="1899-12-30T05:19:12"/>
        <d v="1899-12-30T02:54:25"/>
        <d v="1899-12-30T04:36:50"/>
        <d v="1899-12-30T04:50:07"/>
        <d v="1899-12-30T02:59:39"/>
        <d v="1899-12-30T05:24:05"/>
        <d v="1899-12-30T02:52:08"/>
        <d v="1899-12-30T04:51:52"/>
        <d v="1899-12-30T05:15:36"/>
        <d v="1899-12-30T03:36:51"/>
        <d v="1899-12-30T05:15:14"/>
        <d v="1899-12-30T03:08:41"/>
        <d v="1899-12-30T04:38:49"/>
      </sharedItems>
    </cacheField>
    <cacheField name="Total Break Taken" numFmtId="165">
      <sharedItems containsSemiMixedTypes="0" containsNonDate="0" containsDate="1" containsString="0" minDate="1899-12-30T00:15:00" maxDate="1899-12-30T08:17:00" count="138">
        <d v="1899-12-30T01:08:42"/>
        <d v="1899-12-30T01:09:59"/>
        <d v="1899-12-30T01:13:54"/>
        <d v="1899-12-30T02:19:02"/>
        <d v="1899-12-30T03:04:58"/>
        <d v="1899-12-30T00:27:07"/>
        <d v="1899-12-30T02:41:42"/>
        <d v="1899-12-30T01:13:10"/>
        <d v="1899-12-30T01:06:39"/>
        <d v="1899-12-30T01:09:57"/>
        <d v="1899-12-30T01:09:15"/>
        <d v="1899-12-30T03:01:18"/>
        <d v="1899-12-30T02:06:41"/>
        <d v="1899-12-30T01:10:34"/>
        <d v="1899-12-30T01:16:59"/>
        <d v="1899-12-30T02:24:20"/>
        <d v="1899-12-30T00:56:29"/>
        <d v="1899-12-30T01:10:07"/>
        <d v="1899-12-30T02:40:10"/>
        <d v="1899-12-30T01:14:30"/>
        <d v="1899-12-30T01:06:59"/>
        <d v="1899-12-30T01:09:47"/>
        <d v="1899-12-30T02:10:18"/>
        <d v="1899-12-30T02:11:17"/>
        <d v="1899-12-30T01:12:54"/>
        <d v="1899-12-30T00:30:30"/>
        <d v="1899-12-30T01:11:40"/>
        <d v="1899-12-30T01:10:03"/>
        <d v="1899-12-30T02:44:52"/>
        <d v="1899-12-30T01:20:20"/>
        <d v="1899-12-30T02:09:14"/>
        <d v="1899-12-30T01:09:03"/>
        <d v="1899-12-30T01:09:56"/>
        <d v="1899-12-30T01:28:09"/>
        <d v="1899-12-30T02:35:12"/>
        <d v="1899-12-30T01:09:36"/>
        <d v="1899-12-30T01:10:44"/>
        <d v="1899-12-30T01:10:27"/>
        <d v="1899-12-30T01:10:12"/>
        <d v="1899-12-30T01:07:40"/>
        <d v="1899-12-30T02:24:54"/>
        <d v="1899-12-30T00:15:00"/>
        <d v="1899-12-30T01:09:45"/>
        <d v="1899-12-30T00:56:19"/>
        <d v="1899-12-30T02:10:24"/>
        <d v="1899-12-30T01:09:28"/>
        <d v="1899-12-30T01:10:11"/>
        <d v="1899-12-30T00:18:10"/>
        <d v="1899-12-30T01:14:44"/>
        <d v="1899-12-30T01:10:04"/>
        <d v="1899-12-30T01:10:09"/>
        <d v="1899-12-30T01:10:39"/>
        <d v="1899-12-30T01:10:46"/>
        <d v="1899-12-30T01:09:53"/>
        <d v="1899-12-30T01:15:59"/>
        <d v="1899-12-30T01:11:39"/>
        <d v="1899-12-30T03:34:45"/>
        <d v="1899-12-30T02:12:24"/>
        <d v="1899-12-30T00:15:35"/>
        <d v="1899-12-30T02:13:07"/>
        <d v="1899-12-30T02:38:29"/>
        <d v="1899-12-30T02:24:38"/>
        <d v="1899-12-30T00:29:34"/>
        <d v="1899-12-30T01:14:03"/>
        <d v="1899-12-30T01:08:27"/>
        <d v="1899-12-30T02:15:18"/>
        <d v="1899-12-30T01:37:25"/>
        <d v="1899-12-30T01:36:03"/>
        <d v="1899-12-30T02:11:54"/>
        <d v="1899-12-30T02:26:26"/>
        <d v="1899-12-30T01:55:26"/>
        <d v="1899-12-30T01:38:42"/>
        <d v="1899-12-30T04:11:26"/>
        <d v="1899-12-30T04:21:06"/>
        <d v="1899-12-30T01:10:25"/>
        <d v="1899-12-30T02:37:28"/>
        <d v="1899-12-30T03:20:01"/>
        <d v="1899-12-30T01:08:32"/>
        <d v="1899-12-30T00:30:20"/>
        <d v="1899-12-30T01:08:44"/>
        <d v="1899-12-30T01:08:24"/>
        <d v="1899-12-30T01:37:06"/>
        <d v="1899-12-30T01:19:08"/>
        <d v="1899-12-30T02:34:16"/>
        <d v="1899-12-30T07:08:19"/>
        <d v="1899-12-30T01:12:04"/>
        <d v="1899-12-30T02:06:35"/>
        <d v="1899-12-30T00:24:27"/>
        <d v="1899-12-30T08:15:09"/>
        <d v="1899-12-30T06:39:44"/>
        <d v="1899-12-30T01:13:46"/>
        <d v="1899-12-30T05:45:13"/>
        <d v="1899-12-30T02:04:58"/>
        <d v="1899-12-30T01:11:14"/>
        <d v="1899-12-30T01:50:37"/>
        <d v="1899-12-30T01:36:57"/>
        <d v="1899-12-30T05:07:55"/>
        <d v="1899-12-30T01:13:20"/>
        <d v="1899-12-30T08:17:00"/>
        <d v="1899-12-30T02:10:16"/>
        <d v="1899-12-30T00:53:47"/>
        <d v="1899-12-30T01:09:24"/>
        <d v="1899-12-30T01:08:40"/>
        <d v="1899-12-30T01:59:29"/>
        <d v="1899-12-30T01:09:43"/>
        <d v="1899-12-30T01:10:15"/>
        <d v="1899-12-30T01:13:56"/>
        <d v="1899-12-30T01:09:48"/>
        <d v="1899-12-30T01:10:58"/>
        <d v="1899-12-30T01:12:01"/>
        <d v="1899-12-30T01:32:37"/>
        <d v="1899-12-30T01:45:37"/>
        <d v="1899-12-30T01:08:46"/>
        <d v="1899-12-30T03:43:06"/>
        <d v="1899-12-30T03:15:05"/>
        <d v="1899-12-30T00:55:39"/>
        <d v="1899-12-30T01:41:30"/>
        <d v="1899-12-30T03:23:49"/>
        <d v="1899-12-30T02:17:48"/>
        <d v="1899-12-30T01:19:32"/>
        <d v="1899-12-30T04:35:37"/>
        <d v="1899-12-30T01:09:51"/>
        <d v="1899-12-30T01:57:15"/>
        <d v="1899-12-30T04:36:20"/>
        <d v="1899-12-30T01:14:24"/>
        <d v="1899-12-30T03:56:57"/>
        <d v="1899-12-30T02:16:51"/>
        <d v="1899-12-30T02:06:43"/>
        <d v="1899-12-30T01:08:15"/>
        <d v="1899-12-30T03:46:52"/>
        <d v="1899-12-30T02:17:05"/>
        <d v="1899-12-30T01:10:21"/>
        <d v="1899-12-30T04:32:37"/>
        <d v="1899-12-30T05:03:34"/>
        <d v="1899-12-30T00:56:05"/>
        <d v="1899-12-30T04:02:30"/>
        <d v="1899-12-30T01:12:11"/>
        <d v="1899-12-30T00:15:03"/>
      </sharedItems>
    </cacheField>
    <cacheField name="Attended Calls" numFmtId="0">
      <sharedItems containsSemiMixedTypes="0" containsString="0" containsNumber="1" containsInteger="1" minValue="23" maxValue="107" count="82">
        <n v="98"/>
        <n v="23"/>
        <n v="28"/>
        <n v="29"/>
        <n v="93"/>
        <n v="92"/>
        <n v="26"/>
        <n v="90"/>
        <n v="89"/>
        <n v="54"/>
        <n v="87"/>
        <n v="65"/>
        <n v="85"/>
        <n v="83"/>
        <n v="82"/>
        <n v="81"/>
        <n v="80"/>
        <n v="79"/>
        <n v="78"/>
        <n v="77"/>
        <n v="76"/>
        <n v="75"/>
        <n v="74"/>
        <n v="73"/>
        <n v="72"/>
        <n v="71"/>
        <n v="70"/>
        <n v="69"/>
        <n v="68"/>
        <n v="67"/>
        <n v="66"/>
        <n v="64"/>
        <n v="63"/>
        <n v="62"/>
        <n v="61"/>
        <n v="60"/>
        <n v="59"/>
        <n v="58"/>
        <n v="57"/>
        <n v="56"/>
        <n v="55"/>
        <n v="53"/>
        <n v="52"/>
        <n v="51"/>
        <n v="50"/>
        <n v="49"/>
        <n v="48"/>
        <n v="47"/>
        <n v="46"/>
        <n v="45"/>
        <n v="44"/>
        <n v="43"/>
        <n v="42"/>
        <n v="41"/>
        <n v="40"/>
        <n v="39"/>
        <n v="38"/>
        <n v="37"/>
        <n v="36"/>
        <n v="35"/>
        <n v="34"/>
        <n v="33"/>
        <n v="32"/>
        <n v="31"/>
        <n v="30"/>
        <n v="84"/>
        <n v="86"/>
        <n v="88"/>
        <n v="91"/>
        <n v="94"/>
        <n v="95"/>
        <n v="96"/>
        <n v="97"/>
        <n v="99"/>
        <n v="100"/>
        <n v="101"/>
        <n v="102"/>
        <n v="103"/>
        <n v="104"/>
        <n v="105"/>
        <n v="106"/>
        <n v="107"/>
      </sharedItems>
    </cacheField>
    <cacheField name="Active With Cust." numFmtId="9">
      <sharedItems containsSemiMixedTypes="0" containsString="0" containsNumber="1" minValue="0" maxValue="0.65495030262646503" count="148">
        <n v="0.55697138822580095"/>
        <n v="0.58027306967984904"/>
        <n v="0.51708756749505302"/>
        <n v="0.47720778337188702"/>
        <n v="0.43288831738587802"/>
        <n v="0.65495030262646503"/>
        <n v="0.49476474931203401"/>
        <n v="0.55128627474469205"/>
        <n v="0.55206432867085597"/>
        <n v="0.56868945774108703"/>
        <n v="0.56035332087650802"/>
        <n v="0.41552495697073999"/>
        <n v="0.50026955994339195"/>
        <n v="0.51396318166029897"/>
        <n v="0.510580502364264"/>
        <n v="0.48292274174627098"/>
        <n v="0.57362319861879396"/>
        <n v="0.56430560681810604"/>
        <n v="0.46974331693044302"/>
        <n v="0.57495313336904097"/>
        <n v="0.57945376590932096"/>
        <n v="0.588296375695049"/>
        <n v="0.46267686976609901"/>
        <n v="0.478030199972793"/>
        <n v="0.59983142279163904"/>
        <n v="0.65029060203969702"/>
        <n v="0.55001844461584903"/>
        <n v="0.51334660682347399"/>
        <n v="0.43603379219817601"/>
        <n v="0.52954105200417201"/>
        <n v="0.56446852102649603"/>
        <n v="0.49789043664612898"/>
        <n v="0.56270450751252099"/>
        <n v="0.57680556021891705"/>
        <n v="0.55728373576970502"/>
        <n v="0.47590463594126198"/>
        <n v="0.55636846224520997"/>
        <n v="0.527970147246689"/>
        <n v="0.565025741108382"/>
        <n v="0.48579278917035301"/>
        <n v="0.572258996673499"/>
        <n v="0.46542627048042201"/>
        <n v="0.64380836602751801"/>
        <n v="0.57347234098533195"/>
        <n v="0.64717479317021698"/>
        <n v="0.50443090556632497"/>
        <n v="0.55280122283511701"/>
        <n v="0.55493137782561897"/>
        <n v="0.55217497131332804"/>
        <n v="0.58819557756147001"/>
        <n v="0.55534863732407003"/>
        <n v="0.55815083469267301"/>
        <n v="0.53002824185919895"/>
        <n v="0.54639905548996504"/>
        <n v="0.52849609939323905"/>
        <n v="0.53279711551795905"/>
        <n v="0.53150089401535605"/>
        <n v="0.58954564004897303"/>
        <n v="0.34903360911806097"/>
        <n v="0.47933717288067101"/>
        <n v="0.62762080802746201"/>
        <n v="0.47561801557737898"/>
        <n v="0.43635543840177599"/>
        <n v="0.451270369721395"/>
        <n v="0.61244257486024201"/>
        <n v="0.51755872288115901"/>
        <n v="0.55550735760285597"/>
        <n v="0.45535862734013899"/>
        <n v="0.53445058742225304"/>
        <n v="0.55914916459773201"/>
        <n v="0.56847106148351101"/>
        <n v="0.47509108744394601"/>
        <n v="0.47578531804104401"/>
        <n v="0.46898271622042897"/>
        <n v="0.51361161524500898"/>
        <n v="0.525112224318522"/>
        <n v="0.348600086352918"/>
        <n v="0.314709762532982"/>
        <n v="0.55600710333993597"/>
        <n v="0.46221628838451301"/>
        <n v="0.39075685654008402"/>
        <n v="0.54713623850130899"/>
        <n v="0.61457229509993805"/>
        <n v="0.55335578460387103"/>
        <n v="0.611363636363636"/>
        <n v="0.51217732689434703"/>
        <n v="0.56029910728991705"/>
        <n v="0.42891793558819602"/>
        <n v="9.4547987000066294E-2"/>
        <n v="0.61021533340268397"/>
        <n v="0.51260926353863201"/>
        <n v="0.62426796562859199"/>
        <n v="0.54373153085832704"/>
        <n v="0"/>
        <n v="0.14431174927516199"/>
        <n v="0.55259293866381898"/>
        <n v="0.18938817836156199"/>
        <n v="0.47077424938419499"/>
        <n v="0.53862155040909698"/>
        <n v="0.53294365856189296"/>
        <n v="0.41310286360211002"/>
        <n v="0.50483838451717"/>
        <n v="0.52390558805729304"/>
        <n v="0.25444780127559602"/>
        <n v="0.55517503805174995"/>
        <n v="0.477120667047709"/>
        <n v="0.61917030852521004"/>
        <n v="0.55305265350039901"/>
        <n v="0.56195374478956595"/>
        <n v="0.48780077967468699"/>
        <n v="0.55414762032804499"/>
        <n v="0.58651553374572396"/>
        <n v="0.58165871362322696"/>
        <n v="0.59073251942286398"/>
        <n v="0.58640692060085797"/>
        <n v="0.54653369681493502"/>
        <n v="0.53238796723342696"/>
        <n v="0.47020989660776702"/>
        <n v="0.54633099407235797"/>
        <n v="0.38820416638756799"/>
        <n v="0.40277584042404802"/>
        <n v="0.54352584610203702"/>
        <n v="0.28371986821932998"/>
        <n v="0.56196890539434796"/>
        <n v="0.40332201825791802"/>
        <n v="0.43796610169491501"/>
        <n v="0.55581995508931903"/>
        <n v="0.326035781544256"/>
        <n v="0.57404190086867701"/>
        <n v="0.45359037481363301"/>
        <n v="0.29689998979140397"/>
        <n v="0.55729058227496697"/>
        <n v="0.33279321519685601"/>
        <n v="0.472308115165258"/>
        <n v="0.51110729613733896"/>
        <n v="0.58886040078267299"/>
        <n v="0.34289424860853401"/>
        <n v="0.497486459313074"/>
        <n v="0.52431431936732298"/>
        <n v="0.31066956086157999"/>
        <n v="0.58462473412336702"/>
        <n v="0.31685816164817698"/>
        <n v="0.56375322197301903"/>
        <n v="0.54779147908918902"/>
        <n v="0.37965983593576802"/>
        <n v="0.56529498922413801"/>
        <n v="0.60261183662128404"/>
        <n v="0.49813523593319298"/>
      </sharedItems>
    </cacheField>
    <cacheField name="CITY CODE " numFmtId="0">
      <sharedItems containsSemiMixedTypes="0" containsString="0" containsNumber="1" containsInteger="1" minValue="1008512" maxValue="1008660"/>
    </cacheField>
    <cacheField name="CITY" numFmtId="0">
      <sharedItems count="3">
        <s v="Mumbai"/>
        <s v="Hyderabad"/>
        <s v="Delhi"/>
      </sharedItems>
    </cacheField>
  </cacheFields>
  <extLst>
    <ext xmlns:x14="http://schemas.microsoft.com/office/spreadsheetml/2009/9/main" uri="{725AE2AE-9491-48be-B2B4-4EB974FC3084}">
      <x14:pivotCacheDefinition pivotCacheId="9037880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n v="100"/>
    <n v="98"/>
  </r>
  <r>
    <n v="100"/>
    <n v="23"/>
  </r>
  <r>
    <n v="100"/>
    <n v="28"/>
  </r>
  <r>
    <n v="100"/>
    <n v="29"/>
  </r>
  <r>
    <n v="100"/>
    <n v="93"/>
  </r>
  <r>
    <n v="100"/>
    <n v="92"/>
  </r>
  <r>
    <n v="100"/>
    <n v="26"/>
  </r>
  <r>
    <n v="100"/>
    <n v="90"/>
  </r>
  <r>
    <n v="100"/>
    <n v="89"/>
  </r>
  <r>
    <n v="100"/>
    <n v="54"/>
  </r>
  <r>
    <n v="100"/>
    <n v="87"/>
  </r>
  <r>
    <n v="100"/>
    <n v="65"/>
  </r>
  <r>
    <n v="100"/>
    <n v="85"/>
  </r>
  <r>
    <n v="100"/>
    <n v="65"/>
  </r>
  <r>
    <n v="100"/>
    <n v="83"/>
  </r>
  <r>
    <n v="100"/>
    <n v="322"/>
  </r>
  <r>
    <n v="100"/>
    <n v="78"/>
  </r>
  <r>
    <n v="100"/>
    <n v="77"/>
  </r>
  <r>
    <n v="100"/>
    <n v="76"/>
  </r>
  <r>
    <n v="100"/>
    <n v="75"/>
  </r>
  <r>
    <n v="100"/>
    <n v="74"/>
  </r>
  <r>
    <n v="100"/>
    <n v="73"/>
  </r>
  <r>
    <n v="100"/>
    <n v="72"/>
  </r>
  <r>
    <n v="100"/>
    <n v="71"/>
  </r>
  <r>
    <n v="100"/>
    <n v="70"/>
  </r>
  <r>
    <n v="100"/>
    <n v="69"/>
  </r>
  <r>
    <n v="100"/>
    <n v="68"/>
  </r>
  <r>
    <n v="100"/>
    <n v="67"/>
  </r>
  <r>
    <n v="100"/>
    <n v="66"/>
  </r>
  <r>
    <n v="100"/>
    <n v="65"/>
  </r>
  <r>
    <n v="100"/>
    <n v="64"/>
  </r>
  <r>
    <n v="100"/>
    <n v="63"/>
  </r>
  <r>
    <n v="100"/>
    <n v="62"/>
  </r>
  <r>
    <n v="100"/>
    <n v="61"/>
  </r>
  <r>
    <n v="100"/>
    <n v="60"/>
  </r>
  <r>
    <n v="100"/>
    <n v="59"/>
  </r>
  <r>
    <n v="100"/>
    <n v="58"/>
  </r>
  <r>
    <n v="100"/>
    <n v="57"/>
  </r>
  <r>
    <n v="100"/>
    <n v="56"/>
  </r>
  <r>
    <n v="100"/>
    <n v="55"/>
  </r>
  <r>
    <n v="100"/>
    <n v="54"/>
  </r>
  <r>
    <n v="100"/>
    <n v="53"/>
  </r>
  <r>
    <n v="100"/>
    <n v="52"/>
  </r>
  <r>
    <n v="100"/>
    <n v="51"/>
  </r>
  <r>
    <n v="100"/>
    <n v="50"/>
  </r>
  <r>
    <n v="100"/>
    <n v="49"/>
  </r>
  <r>
    <n v="100"/>
    <n v="48"/>
  </r>
  <r>
    <n v="100"/>
    <n v="47"/>
  </r>
  <r>
    <n v="100"/>
    <n v="46"/>
  </r>
  <r>
    <n v="100"/>
    <n v="45"/>
  </r>
  <r>
    <n v="100"/>
    <n v="44"/>
  </r>
  <r>
    <n v="100"/>
    <n v="43"/>
  </r>
  <r>
    <n v="100"/>
    <n v="83"/>
  </r>
  <r>
    <n v="100"/>
    <n v="40"/>
  </r>
  <r>
    <n v="100"/>
    <n v="39"/>
  </r>
  <r>
    <n v="100"/>
    <n v="38"/>
  </r>
  <r>
    <n v="100"/>
    <n v="37"/>
  </r>
  <r>
    <n v="100"/>
    <n v="36"/>
  </r>
  <r>
    <n v="100"/>
    <n v="35"/>
  </r>
  <r>
    <n v="100"/>
    <n v="34"/>
  </r>
  <r>
    <n v="100"/>
    <n v="33"/>
  </r>
  <r>
    <n v="100"/>
    <n v="32"/>
  </r>
  <r>
    <n v="100"/>
    <n v="31"/>
  </r>
  <r>
    <n v="100"/>
    <n v="30"/>
  </r>
  <r>
    <n v="100"/>
    <n v="29"/>
  </r>
  <r>
    <n v="100"/>
    <n v="28"/>
  </r>
  <r>
    <n v="100"/>
    <n v="29"/>
  </r>
  <r>
    <n v="100"/>
    <n v="30"/>
  </r>
  <r>
    <n v="100"/>
    <n v="31"/>
  </r>
  <r>
    <n v="100"/>
    <n v="32"/>
  </r>
  <r>
    <n v="100"/>
    <n v="33"/>
  </r>
  <r>
    <n v="100"/>
    <n v="34"/>
  </r>
  <r>
    <n v="100"/>
    <n v="35"/>
  </r>
  <r>
    <n v="100"/>
    <n v="36"/>
  </r>
  <r>
    <n v="100"/>
    <n v="37"/>
  </r>
  <r>
    <n v="100"/>
    <n v="38"/>
  </r>
  <r>
    <n v="100"/>
    <n v="39"/>
  </r>
  <r>
    <n v="100"/>
    <n v="40"/>
  </r>
  <r>
    <n v="100"/>
    <n v="41"/>
  </r>
  <r>
    <n v="100"/>
    <n v="42"/>
  </r>
  <r>
    <n v="100"/>
    <n v="43"/>
  </r>
  <r>
    <n v="100"/>
    <n v="44"/>
  </r>
  <r>
    <n v="100"/>
    <n v="45"/>
  </r>
  <r>
    <n v="100"/>
    <n v="46"/>
  </r>
  <r>
    <n v="100"/>
    <n v="47"/>
  </r>
  <r>
    <n v="100"/>
    <n v="97"/>
  </r>
  <r>
    <n v="100"/>
    <n v="50"/>
  </r>
  <r>
    <n v="100"/>
    <n v="51"/>
  </r>
  <r>
    <n v="100"/>
    <n v="52"/>
  </r>
  <r>
    <n v="100"/>
    <n v="53"/>
  </r>
  <r>
    <n v="100"/>
    <n v="54"/>
  </r>
  <r>
    <n v="100"/>
    <n v="55"/>
  </r>
  <r>
    <n v="100"/>
    <n v="56"/>
  </r>
  <r>
    <n v="100"/>
    <n v="57"/>
  </r>
  <r>
    <n v="100"/>
    <n v="58"/>
  </r>
  <r>
    <n v="100"/>
    <n v="59"/>
  </r>
  <r>
    <n v="100"/>
    <n v="60"/>
  </r>
  <r>
    <n v="100"/>
    <n v="61"/>
  </r>
  <r>
    <n v="100"/>
    <n v="62"/>
  </r>
  <r>
    <n v="100"/>
    <n v="63"/>
  </r>
  <r>
    <n v="100"/>
    <n v="64"/>
  </r>
  <r>
    <n v="100"/>
    <n v="65"/>
  </r>
  <r>
    <n v="100"/>
    <n v="66"/>
  </r>
  <r>
    <n v="100"/>
    <n v="67"/>
  </r>
  <r>
    <n v="100"/>
    <n v="68"/>
  </r>
  <r>
    <n v="100"/>
    <n v="69"/>
  </r>
  <r>
    <n v="100"/>
    <n v="70"/>
  </r>
  <r>
    <n v="100"/>
    <n v="71"/>
  </r>
  <r>
    <n v="100"/>
    <n v="72"/>
  </r>
  <r>
    <n v="100"/>
    <n v="222"/>
  </r>
  <r>
    <n v="100"/>
    <n v="76"/>
  </r>
  <r>
    <n v="100"/>
    <n v="77"/>
  </r>
  <r>
    <n v="100"/>
    <n v="78"/>
  </r>
  <r>
    <n v="100"/>
    <n v="79"/>
  </r>
  <r>
    <n v="100"/>
    <n v="80"/>
  </r>
  <r>
    <n v="100"/>
    <n v="81"/>
  </r>
  <r>
    <n v="100"/>
    <n v="82"/>
  </r>
  <r>
    <n v="100"/>
    <n v="83"/>
  </r>
  <r>
    <n v="100"/>
    <n v="84"/>
  </r>
  <r>
    <n v="100"/>
    <n v="85"/>
  </r>
  <r>
    <n v="100"/>
    <n v="86"/>
  </r>
  <r>
    <n v="100"/>
    <n v="87"/>
  </r>
  <r>
    <n v="100"/>
    <n v="88"/>
  </r>
  <r>
    <n v="100"/>
    <n v="89"/>
  </r>
  <r>
    <n v="100"/>
    <n v="90"/>
  </r>
  <r>
    <n v="100"/>
    <n v="91"/>
  </r>
  <r>
    <n v="100"/>
    <n v="185"/>
  </r>
  <r>
    <n v="100"/>
    <n v="94"/>
  </r>
  <r>
    <n v="100"/>
    <n v="95"/>
  </r>
  <r>
    <n v="100"/>
    <n v="96"/>
  </r>
  <r>
    <n v="100"/>
    <n v="97"/>
  </r>
  <r>
    <n v="100"/>
    <n v="98"/>
  </r>
  <r>
    <n v="100"/>
    <n v="99"/>
  </r>
  <r>
    <n v="100"/>
    <n v="100"/>
  </r>
  <r>
    <n v="100"/>
    <n v="101"/>
  </r>
  <r>
    <n v="100"/>
    <n v="102"/>
  </r>
  <r>
    <n v="100"/>
    <n v="103"/>
  </r>
  <r>
    <n v="100"/>
    <n v="104"/>
  </r>
  <r>
    <n v="100"/>
    <n v="105"/>
  </r>
  <r>
    <n v="100"/>
    <n v="106"/>
  </r>
  <r>
    <n v="100"/>
    <n v="10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Mum_Abdul Hamid (1008512)"/>
    <x v="0"/>
    <d v="1899-12-30T08:15:43"/>
    <x v="0"/>
    <x v="0"/>
    <x v="0"/>
    <x v="0"/>
    <n v="1008512"/>
    <x v="0"/>
  </r>
  <r>
    <s v="Mum_Afzal Husain (1008513)"/>
    <x v="1"/>
    <d v="1899-12-30T08:15:36"/>
    <x v="1"/>
    <x v="1"/>
    <x v="1"/>
    <x v="1"/>
    <n v="1008513"/>
    <x v="0"/>
  </r>
  <r>
    <s v="Mum_Anamika Gupta (1008514)"/>
    <x v="2"/>
    <d v="1899-12-30T08:16:57"/>
    <x v="2"/>
    <x v="2"/>
    <x v="2"/>
    <x v="2"/>
    <n v="1008514"/>
    <x v="0"/>
  </r>
  <r>
    <s v="Mum_Anikuttan (1008515)"/>
    <x v="3"/>
    <d v="1899-12-30T08:09:56"/>
    <x v="3"/>
    <x v="3"/>
    <x v="3"/>
    <x v="3"/>
    <n v="1008515"/>
    <x v="0"/>
  </r>
  <r>
    <s v="Mum_Anil Kumar (1008516)"/>
    <x v="4"/>
    <d v="1899-12-30T07:20:41"/>
    <x v="4"/>
    <x v="4"/>
    <x v="4"/>
    <x v="4"/>
    <n v="1008516"/>
    <x v="0"/>
  </r>
  <r>
    <s v="Mum_Anita Dixit (1008517)"/>
    <x v="5"/>
    <d v="1899-12-30T05:00:09"/>
    <x v="5"/>
    <x v="5"/>
    <x v="5"/>
    <x v="5"/>
    <n v="1008517"/>
    <x v="0"/>
  </r>
  <r>
    <s v="Mum_Anita Ghore (1008518)"/>
    <x v="6"/>
    <d v="1899-12-30T08:16:38"/>
    <x v="6"/>
    <x v="6"/>
    <x v="6"/>
    <x v="6"/>
    <n v="1008518"/>
    <x v="0"/>
  </r>
  <r>
    <s v="Mum_Anjali Deoram (1008519)"/>
    <x v="7"/>
    <d v="1899-12-30T09:16:31"/>
    <x v="7"/>
    <x v="7"/>
    <x v="7"/>
    <x v="7"/>
    <n v="1008519"/>
    <x v="0"/>
  </r>
  <r>
    <s v="Mum_Anjali Sahay (1008520)"/>
    <x v="8"/>
    <d v="1899-12-30T08:13:18"/>
    <x v="8"/>
    <x v="8"/>
    <x v="8"/>
    <x v="8"/>
    <n v="1008520"/>
    <x v="0"/>
  </r>
  <r>
    <s v="Mum_Annu Latika (1008521)"/>
    <x v="9"/>
    <d v="1899-12-30T08:20:41"/>
    <x v="9"/>
    <x v="9"/>
    <x v="9"/>
    <x v="9"/>
    <n v="1008521"/>
    <x v="0"/>
  </r>
  <r>
    <s v="Mum_Anoop Narayan (1008522)"/>
    <x v="10"/>
    <d v="1899-12-30T08:10:35"/>
    <x v="10"/>
    <x v="10"/>
    <x v="10"/>
    <x v="10"/>
    <n v="1008522"/>
    <x v="0"/>
  </r>
  <r>
    <s v="Mum_Anoop Raj (1008523)"/>
    <x v="11"/>
    <d v="1899-12-30T08:04:10"/>
    <x v="11"/>
    <x v="11"/>
    <x v="11"/>
    <x v="11"/>
    <n v="1008523"/>
    <x v="0"/>
  </r>
  <r>
    <s v="Mum_Anubhuti Gupta (1008524)"/>
    <x v="12"/>
    <d v="1899-12-30T08:14:38"/>
    <x v="12"/>
    <x v="12"/>
    <x v="12"/>
    <x v="12"/>
    <n v="1008524"/>
    <x v="0"/>
  </r>
  <r>
    <s v="Mum_Arun Kumar (1008525)"/>
    <x v="13"/>
    <d v="1899-12-30T07:59:50"/>
    <x v="13"/>
    <x v="13"/>
    <x v="11"/>
    <x v="13"/>
    <n v="1008525"/>
    <x v="0"/>
  </r>
  <r>
    <s v="Mum_Ashish Kumar (1008526)"/>
    <x v="14"/>
    <d v="1899-12-30T08:16:59"/>
    <x v="14"/>
    <x v="14"/>
    <x v="13"/>
    <x v="14"/>
    <n v="1008526"/>
    <x v="0"/>
  </r>
  <r>
    <s v="Mum_Ashok Kumar (1008527)"/>
    <x v="15"/>
    <d v="1899-12-30T08:17:15"/>
    <x v="15"/>
    <x v="15"/>
    <x v="14"/>
    <x v="15"/>
    <n v="1008527"/>
    <x v="0"/>
  </r>
  <r>
    <s v="Hyd_Ashok Kumar (1008528)"/>
    <x v="15"/>
    <d v="1899-12-30T07:53:01"/>
    <x v="16"/>
    <x v="16"/>
    <x v="15"/>
    <x v="16"/>
    <n v="1008528"/>
    <x v="1"/>
  </r>
  <r>
    <s v="Hyd_Ashok Kumar (1008529)"/>
    <x v="15"/>
    <d v="1899-12-30T08:16:43"/>
    <x v="9"/>
    <x v="17"/>
    <x v="16"/>
    <x v="17"/>
    <n v="1008529"/>
    <x v="1"/>
  </r>
  <r>
    <s v="Hyd_Ashok Kumar (1008530)"/>
    <x v="15"/>
    <d v="1899-12-30T08:21:16"/>
    <x v="17"/>
    <x v="18"/>
    <x v="17"/>
    <x v="18"/>
    <n v="1008530"/>
    <x v="1"/>
  </r>
  <r>
    <s v="Hyd_Ashok Mahto (1008531)"/>
    <x v="16"/>
    <d v="1899-12-30T08:17:52"/>
    <x v="18"/>
    <x v="19"/>
    <x v="18"/>
    <x v="19"/>
    <n v="1008531"/>
    <x v="1"/>
  </r>
  <r>
    <s v="Hyd_Atul Kumar (1008532)"/>
    <x v="17"/>
    <d v="1899-12-30T08:13:41"/>
    <x v="19"/>
    <x v="20"/>
    <x v="19"/>
    <x v="20"/>
    <n v="1008532"/>
    <x v="1"/>
  </r>
  <r>
    <s v="Hyd_Azam (1008533)"/>
    <x v="18"/>
    <d v="1899-12-30T08:17:34"/>
    <x v="20"/>
    <x v="21"/>
    <x v="20"/>
    <x v="21"/>
    <n v="1008533"/>
    <x v="1"/>
  </r>
  <r>
    <s v="Hyd_Bhagwat Singh (1008534)"/>
    <x v="19"/>
    <d v="1899-12-30T07:41:44"/>
    <x v="21"/>
    <x v="22"/>
    <x v="21"/>
    <x v="22"/>
    <n v="1008534"/>
    <x v="1"/>
  </r>
  <r>
    <s v="Hyd_Bindu Nair (1008535)"/>
    <x v="20"/>
    <d v="1899-12-30T08:10:04"/>
    <x v="22"/>
    <x v="23"/>
    <x v="22"/>
    <x v="23"/>
    <n v="1008535"/>
    <x v="1"/>
  </r>
  <r>
    <s v="Hyd_Daleep Singh (1008536)"/>
    <x v="21"/>
    <d v="1899-12-30T08:14:20"/>
    <x v="23"/>
    <x v="24"/>
    <x v="23"/>
    <x v="24"/>
    <n v="1008536"/>
    <x v="1"/>
  </r>
  <r>
    <s v="Hyd_Deepak Kumar (1008537)"/>
    <x v="22"/>
    <d v="1899-12-30T07:35:57"/>
    <x v="24"/>
    <x v="25"/>
    <x v="24"/>
    <x v="25"/>
    <n v="1008537"/>
    <x v="1"/>
  </r>
  <r>
    <s v="Hyd_Deepika Nigam (1008538)"/>
    <x v="23"/>
    <d v="1899-12-30T08:16:59"/>
    <x v="25"/>
    <x v="26"/>
    <x v="25"/>
    <x v="26"/>
    <n v="1008538"/>
    <x v="1"/>
  </r>
  <r>
    <s v="Hyd_Dinesh Kumar (1008539)"/>
    <x v="24"/>
    <d v="1899-12-30T08:13:53"/>
    <x v="26"/>
    <x v="27"/>
    <x v="26"/>
    <x v="27"/>
    <n v="1008539"/>
    <x v="1"/>
  </r>
  <r>
    <s v="Hyd_Hari Kumar (1008540)"/>
    <x v="25"/>
    <d v="1899-12-30T08:15:11"/>
    <x v="27"/>
    <x v="28"/>
    <x v="27"/>
    <x v="28"/>
    <n v="1008540"/>
    <x v="1"/>
  </r>
  <r>
    <s v="Hyd_Heeramani Choudhary (1008541)"/>
    <x v="26"/>
    <d v="1899-12-30T07:27:24"/>
    <x v="28"/>
    <x v="29"/>
    <x v="28"/>
    <x v="29"/>
    <n v="1008541"/>
    <x v="1"/>
  </r>
  <r>
    <s v="Hyd_Indra Pal (1008542)"/>
    <x v="27"/>
    <d v="1899-12-30T07:59:57"/>
    <x v="29"/>
    <x v="10"/>
    <x v="29"/>
    <x v="30"/>
    <n v="1008542"/>
    <x v="1"/>
  </r>
  <r>
    <s v="Hyd_Indra Singh (1008543)"/>
    <x v="28"/>
    <d v="1899-12-30T08:17:44"/>
    <x v="30"/>
    <x v="30"/>
    <x v="30"/>
    <x v="31"/>
    <n v="1008543"/>
    <x v="1"/>
  </r>
  <r>
    <s v="Hyd_Jagdish Chandra (1008544)"/>
    <x v="29"/>
    <d v="1899-12-30T08:19:10"/>
    <x v="31"/>
    <x v="31"/>
    <x v="11"/>
    <x v="32"/>
    <n v="1008544"/>
    <x v="1"/>
  </r>
  <r>
    <s v="Hyd_Jairaj Vatham (1008545)"/>
    <x v="30"/>
    <d v="1899-12-30T08:16:23"/>
    <x v="32"/>
    <x v="32"/>
    <x v="31"/>
    <x v="33"/>
    <n v="1008545"/>
    <x v="1"/>
  </r>
  <r>
    <s v="Hyd_Janardan Mishra (1008546)"/>
    <x v="31"/>
    <d v="1899-12-30T07:39:42"/>
    <x v="33"/>
    <x v="33"/>
    <x v="32"/>
    <x v="34"/>
    <n v="1008546"/>
    <x v="1"/>
  </r>
  <r>
    <s v="Hyd_Jitendra Kumar (1008547)"/>
    <x v="32"/>
    <d v="1899-12-30T08:11:27"/>
    <x v="34"/>
    <x v="34"/>
    <x v="33"/>
    <x v="35"/>
    <n v="1008547"/>
    <x v="1"/>
  </r>
  <r>
    <s v="Hyd_John D'Costa (1008548)"/>
    <x v="33"/>
    <d v="1899-12-30T08:09:47"/>
    <x v="35"/>
    <x v="35"/>
    <x v="34"/>
    <x v="36"/>
    <n v="1008548"/>
    <x v="1"/>
  </r>
  <r>
    <s v="Hyd_Julie S (1008549)"/>
    <x v="34"/>
    <d v="1899-12-30T08:15:46"/>
    <x v="36"/>
    <x v="36"/>
    <x v="35"/>
    <x v="37"/>
    <n v="1008549"/>
    <x v="1"/>
  </r>
  <r>
    <s v="Hyd_Jyoti Tulsani (1008550)"/>
    <x v="35"/>
    <d v="1899-12-30T08:15:19"/>
    <x v="37"/>
    <x v="37"/>
    <x v="36"/>
    <x v="38"/>
    <n v="1008550"/>
    <x v="1"/>
  </r>
  <r>
    <s v="Hyd_Kahkasha Parveen (1008551)"/>
    <x v="36"/>
    <d v="1899-12-30T08:17:24"/>
    <x v="38"/>
    <x v="38"/>
    <x v="37"/>
    <x v="39"/>
    <n v="1008551"/>
    <x v="1"/>
  </r>
  <r>
    <s v="Hyd_Kailash Nath (1008552)"/>
    <x v="37"/>
    <d v="1899-12-30T08:16:01"/>
    <x v="39"/>
    <x v="39"/>
    <x v="38"/>
    <x v="40"/>
    <n v="1008552"/>
    <x v="1"/>
  </r>
  <r>
    <s v="Hyd_Kalpana Agrawal (1008553)"/>
    <x v="38"/>
    <d v="1899-12-30T08:00:08"/>
    <x v="40"/>
    <x v="40"/>
    <x v="39"/>
    <x v="41"/>
    <n v="1008553"/>
    <x v="1"/>
  </r>
  <r>
    <s v="Hyd_Kamini Kumar (1008554)"/>
    <x v="39"/>
    <d v="1899-12-30T05:01:37"/>
    <x v="41"/>
    <x v="41"/>
    <x v="40"/>
    <x v="42"/>
    <n v="1008554"/>
    <x v="1"/>
  </r>
  <r>
    <s v="Hyd_Kamini Tiwari (1008555)"/>
    <x v="40"/>
    <d v="1899-12-30T08:26:46"/>
    <x v="42"/>
    <x v="42"/>
    <x v="9"/>
    <x v="43"/>
    <n v="1008555"/>
    <x v="1"/>
  </r>
  <r>
    <s v="Hyd_Kavita Sharma (1008556)"/>
    <x v="41"/>
    <d v="1899-12-30T07:53:25"/>
    <x v="43"/>
    <x v="43"/>
    <x v="41"/>
    <x v="44"/>
    <n v="1008556"/>
    <x v="1"/>
  </r>
  <r>
    <s v="Hyd_Kiran Khubchandani (1008557)"/>
    <x v="42"/>
    <d v="1899-12-30T08:01:28"/>
    <x v="44"/>
    <x v="44"/>
    <x v="42"/>
    <x v="45"/>
    <n v="1008557"/>
    <x v="1"/>
  </r>
  <r>
    <s v="Hyd_Kisun Sah (1008558)"/>
    <x v="43"/>
    <d v="1899-12-30T08:21:34"/>
    <x v="45"/>
    <x v="45"/>
    <x v="43"/>
    <x v="46"/>
    <n v="1008558"/>
    <x v="1"/>
  </r>
  <r>
    <s v="Hyd_Krishana Kumar (1008559)"/>
    <x v="44"/>
    <d v="1899-12-30T08:15:28"/>
    <x v="46"/>
    <x v="42"/>
    <x v="44"/>
    <x v="47"/>
    <n v="1008559"/>
    <x v="1"/>
  </r>
  <r>
    <s v="Hyd_Kunj Bihari (1008560)"/>
    <x v="45"/>
    <d v="1899-12-30T07:59:19"/>
    <x v="47"/>
    <x v="46"/>
    <x v="45"/>
    <x v="48"/>
    <n v="1008560"/>
    <x v="1"/>
  </r>
  <r>
    <s v="Hyd_Leena George (1008561)"/>
    <x v="46"/>
    <d v="1899-12-30T04:56:13"/>
    <x v="48"/>
    <x v="47"/>
    <x v="46"/>
    <x v="49"/>
    <n v="1008561"/>
    <x v="1"/>
  </r>
  <r>
    <s v="Hyd_Lilly Lucy (1008562)"/>
    <x v="47"/>
    <d v="1899-12-30T07:45:23"/>
    <x v="49"/>
    <x v="48"/>
    <x v="47"/>
    <x v="50"/>
    <n v="1008562"/>
    <x v="1"/>
  </r>
  <r>
    <s v="Hyd_Mangal Singh (1008563)"/>
    <x v="48"/>
    <d v="1899-12-30T08:00:13"/>
    <x v="50"/>
    <x v="49"/>
    <x v="48"/>
    <x v="51"/>
    <n v="1008563"/>
    <x v="1"/>
  </r>
  <r>
    <s v="Hyd_Manisha Shrivastava (1008564)"/>
    <x v="49"/>
    <d v="1899-12-30T08:09:49"/>
    <x v="51"/>
    <x v="50"/>
    <x v="49"/>
    <x v="52"/>
    <n v="1008564"/>
    <x v="1"/>
  </r>
  <r>
    <s v="Hyd_Manjusha Sinha (1008565)"/>
    <x v="50"/>
    <d v="1899-12-30T08:14:05"/>
    <x v="52"/>
    <x v="51"/>
    <x v="50"/>
    <x v="53"/>
    <n v="1008565"/>
    <x v="1"/>
  </r>
  <r>
    <s v="Hyd_ManjuTiwari Lab (1008566)"/>
    <x v="51"/>
    <d v="1899-12-30T07:41:28"/>
    <x v="53"/>
    <x v="52"/>
    <x v="51"/>
    <x v="54"/>
    <n v="1008566"/>
    <x v="1"/>
  </r>
  <r>
    <s v="Hyd_Manoj Kumar (1008567)"/>
    <x v="52"/>
    <d v="1899-12-30T08:00:44"/>
    <x v="54"/>
    <x v="53"/>
    <x v="52"/>
    <x v="55"/>
    <n v="1008567"/>
    <x v="1"/>
  </r>
  <r>
    <s v="Hyd_Manoj Kumar (1008568)"/>
    <x v="52"/>
    <d v="1899-12-30T07:55:23"/>
    <x v="55"/>
    <x v="54"/>
    <x v="53"/>
    <x v="56"/>
    <n v="1008568"/>
    <x v="1"/>
  </r>
  <r>
    <s v="Hyd_Masroor Adil (1008569)"/>
    <x v="53"/>
    <d v="1899-12-30T08:10:04"/>
    <x v="56"/>
    <x v="55"/>
    <x v="54"/>
    <x v="57"/>
    <n v="1008569"/>
    <x v="1"/>
  </r>
  <r>
    <s v="Hyd_Meena Zinjare (1008570)"/>
    <x v="54"/>
    <d v="1899-12-30T08:05:29"/>
    <x v="57"/>
    <x v="56"/>
    <x v="55"/>
    <x v="58"/>
    <n v="1008570"/>
    <x v="1"/>
  </r>
  <r>
    <s v="Hyd_Mehnaz Khan (1008571)"/>
    <x v="55"/>
    <d v="1899-12-30T08:14:51"/>
    <x v="58"/>
    <x v="57"/>
    <x v="56"/>
    <x v="59"/>
    <n v="1008571"/>
    <x v="1"/>
  </r>
  <r>
    <s v="Hyd_Mercy Thampi (1008572)"/>
    <x v="56"/>
    <d v="1899-12-30T05:15:35"/>
    <x v="59"/>
    <x v="58"/>
    <x v="57"/>
    <x v="60"/>
    <n v="1008572"/>
    <x v="1"/>
  </r>
  <r>
    <s v="Hyd_Miny Mole (1008573)"/>
    <x v="57"/>
    <d v="1899-12-30T08:12:10"/>
    <x v="60"/>
    <x v="59"/>
    <x v="58"/>
    <x v="61"/>
    <n v="1008573"/>
    <x v="1"/>
  </r>
  <r>
    <s v="Hyd_Mohd Rafi (1008574)"/>
    <x v="58"/>
    <d v="1899-12-30T08:00:32"/>
    <x v="61"/>
    <x v="60"/>
    <x v="59"/>
    <x v="62"/>
    <n v="1008574"/>
    <x v="1"/>
  </r>
  <r>
    <s v="Hyd_Mubeen Khan (1008575)"/>
    <x v="59"/>
    <d v="1899-12-30T07:55:35"/>
    <x v="62"/>
    <x v="61"/>
    <x v="60"/>
    <x v="63"/>
    <n v="1008575"/>
    <x v="1"/>
  </r>
  <r>
    <s v="Hyd_Mukesh Nagar (1008576)"/>
    <x v="60"/>
    <d v="1899-12-30T05:01:07"/>
    <x v="63"/>
    <x v="62"/>
    <x v="61"/>
    <x v="64"/>
    <n v="1008576"/>
    <x v="1"/>
  </r>
  <r>
    <s v="Hyd_Nandu Kumar (1008577)"/>
    <x v="61"/>
    <d v="1899-12-30T08:21:39"/>
    <x v="64"/>
    <x v="63"/>
    <x v="62"/>
    <x v="65"/>
    <n v="1008577"/>
    <x v="1"/>
  </r>
  <r>
    <s v="Hyd_Narayan Singh (1008578)"/>
    <x v="62"/>
    <d v="1899-12-30T08:19:29"/>
    <x v="65"/>
    <x v="64"/>
    <x v="63"/>
    <x v="66"/>
    <n v="1008578"/>
    <x v="1"/>
  </r>
  <r>
    <s v="Hyd_Neeraj Saxena (1008579)"/>
    <x v="63"/>
    <d v="1899-12-30T08:21:13"/>
    <x v="66"/>
    <x v="65"/>
    <x v="64"/>
    <x v="67"/>
    <n v="1008579"/>
    <x v="1"/>
  </r>
  <r>
    <s v="Hyd_Neeru Mehta (1008580)"/>
    <x v="64"/>
    <d v="1899-12-30T08:02:20"/>
    <x v="67"/>
    <x v="27"/>
    <x v="3"/>
    <x v="68"/>
    <n v="1008580"/>
    <x v="1"/>
  </r>
  <r>
    <s v="Hyd_Nikita Panwalkar (1008581)"/>
    <x v="65"/>
    <d v="1899-12-30T08:16:46"/>
    <x v="68"/>
    <x v="66"/>
    <x v="2"/>
    <x v="69"/>
    <n v="1008581"/>
    <x v="1"/>
  </r>
  <r>
    <s v="Hyd_Nitin Bhatia (1008582)"/>
    <x v="66"/>
    <d v="1899-12-30T08:00:37"/>
    <x v="69"/>
    <x v="53"/>
    <x v="3"/>
    <x v="70"/>
    <n v="1008582"/>
    <x v="1"/>
  </r>
  <r>
    <s v="Hyd_Om Prakash (1008583)"/>
    <x v="67"/>
    <d v="1899-12-30T07:55:44"/>
    <x v="70"/>
    <x v="67"/>
    <x v="64"/>
    <x v="71"/>
    <n v="1008583"/>
    <x v="1"/>
  </r>
  <r>
    <s v="Hyd_Omprakash O (1008584)"/>
    <x v="68"/>
    <d v="1899-12-30T08:09:43"/>
    <x v="71"/>
    <x v="68"/>
    <x v="63"/>
    <x v="72"/>
    <n v="1008584"/>
    <x v="1"/>
  </r>
  <r>
    <s v="Hyd_Owais Mohd (1008585)"/>
    <x v="69"/>
    <d v="1899-12-30T08:01:11"/>
    <x v="72"/>
    <x v="69"/>
    <x v="62"/>
    <x v="73"/>
    <n v="1008585"/>
    <x v="1"/>
  </r>
  <r>
    <s v="Hyd_Pankaj Shelkey (1008586)"/>
    <x v="70"/>
    <d v="1899-12-30T08:15:54"/>
    <x v="73"/>
    <x v="70"/>
    <x v="61"/>
    <x v="74"/>
    <n v="1008586"/>
    <x v="1"/>
  </r>
  <r>
    <s v="Hyd_Partha Sarathi (1008587)"/>
    <x v="71"/>
    <d v="1899-12-30T08:32:22"/>
    <x v="74"/>
    <x v="71"/>
    <x v="60"/>
    <x v="75"/>
    <n v="1008587"/>
    <x v="1"/>
  </r>
  <r>
    <s v="Hyd_Prabha Desikan (1008588)"/>
    <x v="72"/>
    <d v="1899-12-30T08:21:49"/>
    <x v="75"/>
    <x v="72"/>
    <x v="59"/>
    <x v="76"/>
    <n v="1008588"/>
    <x v="1"/>
  </r>
  <r>
    <s v="Hyd_Pramod Tiwari (1008589)"/>
    <x v="73"/>
    <d v="1899-12-30T08:25:20"/>
    <x v="76"/>
    <x v="73"/>
    <x v="58"/>
    <x v="77"/>
    <n v="1008589"/>
    <x v="1"/>
  </r>
  <r>
    <s v="Hyd_Prasannakumari S (1008590)"/>
    <x v="74"/>
    <d v="1899-12-30T08:08:02"/>
    <x v="77"/>
    <x v="74"/>
    <x v="57"/>
    <x v="78"/>
    <n v="1008590"/>
    <x v="1"/>
  </r>
  <r>
    <s v="Hyd_Praveen Kumar (1008591)"/>
    <x v="75"/>
    <d v="1899-12-30T08:19:20"/>
    <x v="78"/>
    <x v="75"/>
    <x v="56"/>
    <x v="79"/>
    <n v="1008591"/>
    <x v="1"/>
  </r>
  <r>
    <s v="Hyd_Rachel Mathew (1008592)"/>
    <x v="76"/>
    <d v="1899-12-30T08:25:36"/>
    <x v="79"/>
    <x v="76"/>
    <x v="55"/>
    <x v="80"/>
    <n v="1008592"/>
    <x v="1"/>
  </r>
  <r>
    <s v="Hyd_Rachita Anupam (1008593)"/>
    <x v="77"/>
    <d v="1899-12-30T08:16:26"/>
    <x v="80"/>
    <x v="77"/>
    <x v="54"/>
    <x v="81"/>
    <n v="1008593"/>
    <x v="1"/>
  </r>
  <r>
    <s v="Hyd_Rachna Chauhan (1008594)"/>
    <x v="78"/>
    <d v="1899-12-30T07:36:07"/>
    <x v="81"/>
    <x v="78"/>
    <x v="53"/>
    <x v="82"/>
    <n v="1008594"/>
    <x v="1"/>
  </r>
  <r>
    <s v="Hyd_Raj Kumar (1008595)"/>
    <x v="79"/>
    <d v="1899-12-30T08:09:57"/>
    <x v="82"/>
    <x v="79"/>
    <x v="52"/>
    <x v="83"/>
    <n v="1008595"/>
    <x v="1"/>
  </r>
  <r>
    <s v="Hyd_Rajeev Garg (1008596)"/>
    <x v="80"/>
    <d v="1899-12-30T08:04:00"/>
    <x v="83"/>
    <x v="80"/>
    <x v="51"/>
    <x v="84"/>
    <n v="1008596"/>
    <x v="1"/>
  </r>
  <r>
    <s v="Hyd_Rajeev Kumar (1008597)"/>
    <x v="81"/>
    <d v="1899-12-30T07:59:43"/>
    <x v="84"/>
    <x v="81"/>
    <x v="50"/>
    <x v="85"/>
    <n v="1008597"/>
    <x v="1"/>
  </r>
  <r>
    <s v="Hyd_Rajendra Gupta (1008598)"/>
    <x v="82"/>
    <d v="1899-12-30T08:25:57"/>
    <x v="85"/>
    <x v="82"/>
    <x v="49"/>
    <x v="86"/>
    <n v="1008598"/>
    <x v="1"/>
  </r>
  <r>
    <s v="Hyd_Rajendra Kumar (1008599)"/>
    <x v="83"/>
    <d v="1899-12-30T08:14:44"/>
    <x v="86"/>
    <x v="83"/>
    <x v="48"/>
    <x v="87"/>
    <n v="1008599"/>
    <x v="1"/>
  </r>
  <r>
    <s v="Hyd_Rajendra Prasad (1008600)"/>
    <x v="84"/>
    <d v="1899-12-30T08:22:34"/>
    <x v="87"/>
    <x v="84"/>
    <x v="47"/>
    <x v="88"/>
    <n v="1008600"/>
    <x v="1"/>
  </r>
  <r>
    <s v="Hyd_Rajesh Kumar (1008601)"/>
    <x v="85"/>
    <d v="1899-12-30T08:00:39"/>
    <x v="88"/>
    <x v="85"/>
    <x v="46"/>
    <x v="89"/>
    <n v="1008601"/>
    <x v="1"/>
  </r>
  <r>
    <s v="Hyd_Rajesh Kumar (1008602)"/>
    <x v="85"/>
    <d v="1899-12-30T08:17:39"/>
    <x v="89"/>
    <x v="86"/>
    <x v="45"/>
    <x v="90"/>
    <n v="1008602"/>
    <x v="1"/>
  </r>
  <r>
    <s v="Hyd_Rajesh Sharma (1008603)"/>
    <x v="86"/>
    <d v="1899-12-30T05:04:31"/>
    <x v="90"/>
    <x v="87"/>
    <x v="44"/>
    <x v="91"/>
    <n v="1008603"/>
    <x v="1"/>
  </r>
  <r>
    <s v="Hyd_Raji Abraham (1008604)"/>
    <x v="87"/>
    <d v="1899-12-30T08:10:41"/>
    <x v="91"/>
    <x v="45"/>
    <x v="43"/>
    <x v="92"/>
    <n v="1008604"/>
    <x v="1"/>
  </r>
  <r>
    <s v="Hyd_Rajshree Dhabekar (1008605)"/>
    <x v="88"/>
    <d v="1899-12-30T08:15:13"/>
    <x v="92"/>
    <x v="88"/>
    <x v="42"/>
    <x v="93"/>
    <n v="1008605"/>
    <x v="1"/>
  </r>
  <r>
    <s v="Hyd_Rakhi Jodhani (1008606)"/>
    <x v="89"/>
    <d v="1899-12-30T08:02:52"/>
    <x v="93"/>
    <x v="89"/>
    <x v="41"/>
    <x v="94"/>
    <n v="1008606"/>
    <x v="1"/>
  </r>
  <r>
    <s v="Hyd_Ramji Prasad (1008607)"/>
    <x v="90"/>
    <d v="1899-12-30T08:19:26"/>
    <x v="94"/>
    <x v="90"/>
    <x v="9"/>
    <x v="95"/>
    <n v="1008607"/>
    <x v="1"/>
  </r>
  <r>
    <s v="Del_Rashid (1008608)"/>
    <x v="91"/>
    <d v="1899-12-30T08:02:10"/>
    <x v="95"/>
    <x v="91"/>
    <x v="40"/>
    <x v="96"/>
    <n v="1008608"/>
    <x v="2"/>
  </r>
  <r>
    <s v="Del_Rashmi Gajbe (1008609)"/>
    <x v="92"/>
    <d v="1899-12-30T08:20:42"/>
    <x v="96"/>
    <x v="92"/>
    <x v="39"/>
    <x v="97"/>
    <n v="1008609"/>
    <x v="2"/>
  </r>
  <r>
    <s v="Del_Ravi Kumar (1008610)"/>
    <x v="93"/>
    <d v="1899-12-30T08:00:44"/>
    <x v="97"/>
    <x v="93"/>
    <x v="38"/>
    <x v="98"/>
    <n v="1008610"/>
    <x v="2"/>
  </r>
  <r>
    <s v="Del_Ravinder Kaur (1008611)"/>
    <x v="94"/>
    <d v="1899-12-30T08:01:53"/>
    <x v="98"/>
    <x v="45"/>
    <x v="37"/>
    <x v="99"/>
    <n v="1008611"/>
    <x v="2"/>
  </r>
  <r>
    <s v="Del_Rekha Agarwal (1008612)"/>
    <x v="95"/>
    <d v="1899-12-30T05:53:52"/>
    <x v="99"/>
    <x v="6"/>
    <x v="36"/>
    <x v="100"/>
    <n v="1008612"/>
    <x v="2"/>
  </r>
  <r>
    <s v="Del_Rekha Gupta (1008613)"/>
    <x v="96"/>
    <d v="1899-12-30T08:16:02"/>
    <x v="100"/>
    <x v="94"/>
    <x v="35"/>
    <x v="101"/>
    <n v="1008613"/>
    <x v="2"/>
  </r>
  <r>
    <s v="Del_Rekha Jain  (1008614)"/>
    <x v="97"/>
    <d v="1899-12-30T08:15:42"/>
    <x v="101"/>
    <x v="95"/>
    <x v="34"/>
    <x v="102"/>
    <n v="1008614"/>
    <x v="2"/>
  </r>
  <r>
    <s v="Del_Renu Pratap (1008615)"/>
    <x v="98"/>
    <d v="1899-12-30T08:16:30"/>
    <x v="102"/>
    <x v="96"/>
    <x v="33"/>
    <x v="103"/>
    <n v="1008615"/>
    <x v="2"/>
  </r>
  <r>
    <s v="Del_Ritu Bhatnagar (1008616)"/>
    <x v="99"/>
    <d v="1899-12-30T08:01:48"/>
    <x v="103"/>
    <x v="97"/>
    <x v="32"/>
    <x v="104"/>
    <n v="1008616"/>
    <x v="2"/>
  </r>
  <r>
    <s v="Del_Rohit Nishchal (1008617)"/>
    <x v="100"/>
    <d v="1899-12-30T08:17:09"/>
    <x v="92"/>
    <x v="98"/>
    <x v="31"/>
    <x v="93"/>
    <n v="1008617"/>
    <x v="2"/>
  </r>
  <r>
    <s v="Del_Roli Bhatnagar (1008618)"/>
    <x v="101"/>
    <d v="1899-12-30T08:15:43"/>
    <x v="104"/>
    <x v="99"/>
    <x v="11"/>
    <x v="105"/>
    <n v="1008618"/>
    <x v="2"/>
  </r>
  <r>
    <s v="Del_Roma Rastogi (1008619)"/>
    <x v="102"/>
    <d v="1899-12-30T08:31:02"/>
    <x v="105"/>
    <x v="100"/>
    <x v="30"/>
    <x v="106"/>
    <n v="1008619"/>
    <x v="2"/>
  </r>
  <r>
    <s v="Del_Roohi Haider (1008620)"/>
    <x v="103"/>
    <d v="1899-12-30T08:00:11"/>
    <x v="106"/>
    <x v="101"/>
    <x v="29"/>
    <x v="107"/>
    <n v="1008620"/>
    <x v="2"/>
  </r>
  <r>
    <s v="Del_Sajid Naqvi (1008621)"/>
    <x v="104"/>
    <d v="1899-12-30T08:15:48"/>
    <x v="107"/>
    <x v="102"/>
    <x v="28"/>
    <x v="108"/>
    <n v="1008621"/>
    <x v="2"/>
  </r>
  <r>
    <s v="Del_Salim (1008622)"/>
    <x v="105"/>
    <d v="1899-12-30T08:15:56"/>
    <x v="108"/>
    <x v="103"/>
    <x v="27"/>
    <x v="109"/>
    <n v="1008622"/>
    <x v="2"/>
  </r>
  <r>
    <s v="Del_Sanjay Hire (1008623)"/>
    <x v="106"/>
    <d v="1899-12-30T08:15:52"/>
    <x v="109"/>
    <x v="104"/>
    <x v="26"/>
    <x v="110"/>
    <n v="1008623"/>
    <x v="2"/>
  </r>
  <r>
    <s v="Del_Sanjiv Subherwal (1008624)"/>
    <x v="107"/>
    <d v="1899-12-30T08:02:17"/>
    <x v="110"/>
    <x v="105"/>
    <x v="25"/>
    <x v="111"/>
    <n v="1008624"/>
    <x v="2"/>
  </r>
  <r>
    <s v="Del_Sanju Ramdas (1008625)"/>
    <x v="108"/>
    <d v="1899-12-30T08:15:58"/>
    <x v="111"/>
    <x v="106"/>
    <x v="24"/>
    <x v="112"/>
    <n v="1008625"/>
    <x v="2"/>
  </r>
  <r>
    <s v="Del_Santosh Kumar (1008626)"/>
    <x v="109"/>
    <d v="1899-12-30T08:00:32"/>
    <x v="112"/>
    <x v="107"/>
    <x v="23"/>
    <x v="113"/>
    <n v="1008626"/>
    <x v="2"/>
  </r>
  <r>
    <s v="Del_Santosh Kumar (1008627)"/>
    <x v="109"/>
    <d v="1899-12-30T08:17:04"/>
    <x v="113"/>
    <x v="108"/>
    <x v="22"/>
    <x v="114"/>
    <n v="1008627"/>
    <x v="2"/>
  </r>
  <r>
    <s v="Del_Santosh Kumar (1008628)"/>
    <x v="109"/>
    <d v="1899-12-30T08:02:59"/>
    <x v="114"/>
    <x v="109"/>
    <x v="21"/>
    <x v="115"/>
    <n v="1008628"/>
    <x v="2"/>
  </r>
  <r>
    <s v="Del_Sapna Sharma (1008629)"/>
    <x v="110"/>
    <d v="1899-12-30T08:04:14"/>
    <x v="115"/>
    <x v="110"/>
    <x v="20"/>
    <x v="116"/>
    <n v="1008629"/>
    <x v="2"/>
  </r>
  <r>
    <s v="Del_Saroj Parita (1008630)"/>
    <x v="111"/>
    <d v="1899-12-30T08:01:59"/>
    <x v="116"/>
    <x v="111"/>
    <x v="19"/>
    <x v="117"/>
    <n v="1008630"/>
    <x v="2"/>
  </r>
  <r>
    <s v="Del_Shailaja Kamal (1008631)"/>
    <x v="112"/>
    <d v="1899-12-30T08:09:14"/>
    <x v="117"/>
    <x v="112"/>
    <x v="18"/>
    <x v="118"/>
    <n v="1008631"/>
    <x v="2"/>
  </r>
  <r>
    <s v="Del_Shailendra Barge (1008632)"/>
    <x v="113"/>
    <d v="1899-12-30T08:17:38"/>
    <x v="118"/>
    <x v="113"/>
    <x v="17"/>
    <x v="119"/>
    <n v="1008632"/>
    <x v="2"/>
  </r>
  <r>
    <s v="Del_Shankar Attendant (1008633)"/>
    <x v="114"/>
    <d v="1899-12-30T07:57:56"/>
    <x v="119"/>
    <x v="114"/>
    <x v="16"/>
    <x v="120"/>
    <n v="1008633"/>
    <x v="2"/>
  </r>
  <r>
    <s v="Del_Shashikant Tiwari (1008634)"/>
    <x v="115"/>
    <d v="1899-12-30T08:14:55"/>
    <x v="120"/>
    <x v="1"/>
    <x v="15"/>
    <x v="121"/>
    <n v="1008634"/>
    <x v="2"/>
  </r>
  <r>
    <s v="Del_Sheeba Joseph (1008635)"/>
    <x v="116"/>
    <d v="1899-12-30T08:30:57"/>
    <x v="121"/>
    <x v="115"/>
    <x v="14"/>
    <x v="122"/>
    <n v="1008635"/>
    <x v="2"/>
  </r>
  <r>
    <s v="Del_Sheena Joseph (1008636)"/>
    <x v="117"/>
    <d v="1899-12-30T08:49:34"/>
    <x v="122"/>
    <x v="116"/>
    <x v="13"/>
    <x v="123"/>
    <n v="1008636"/>
    <x v="2"/>
  </r>
  <r>
    <s v="Del_Shephali Jain (1008637)"/>
    <x v="118"/>
    <d v="1899-12-30T08:25:43"/>
    <x v="123"/>
    <x v="117"/>
    <x v="65"/>
    <x v="124"/>
    <n v="1008637"/>
    <x v="2"/>
  </r>
  <r>
    <s v="Del_Shivji Prasad (1008638)"/>
    <x v="119"/>
    <d v="1899-12-30T08:11:40"/>
    <x v="124"/>
    <x v="118"/>
    <x v="12"/>
    <x v="125"/>
    <n v="1008638"/>
    <x v="2"/>
  </r>
  <r>
    <s v="Del_Shubhanjali Joshi (1008639)"/>
    <x v="120"/>
    <d v="1899-12-30T08:17:17"/>
    <x v="125"/>
    <x v="119"/>
    <x v="66"/>
    <x v="126"/>
    <n v="1008639"/>
    <x v="2"/>
  </r>
  <r>
    <s v="Del_Shyamal Malakar (1008640)"/>
    <x v="121"/>
    <d v="1899-12-30T08:15:36"/>
    <x v="126"/>
    <x v="120"/>
    <x v="10"/>
    <x v="127"/>
    <n v="1008640"/>
    <x v="2"/>
  </r>
  <r>
    <s v="Del_Sneh Khan (1008641)"/>
    <x v="122"/>
    <d v="1899-12-30T08:09:15"/>
    <x v="127"/>
    <x v="121"/>
    <x v="67"/>
    <x v="128"/>
    <n v="1008641"/>
    <x v="2"/>
  </r>
  <r>
    <s v="Del_Sonaram Munda (1008642)"/>
    <x v="123"/>
    <d v="1899-12-30T08:00:41"/>
    <x v="128"/>
    <x v="122"/>
    <x v="8"/>
    <x v="129"/>
    <n v="1008642"/>
    <x v="2"/>
  </r>
  <r>
    <s v="Del_Sudama Kumar (1008643)"/>
    <x v="124"/>
    <d v="1899-12-30T08:09:47"/>
    <x v="129"/>
    <x v="123"/>
    <x v="7"/>
    <x v="130"/>
    <n v="1008643"/>
    <x v="2"/>
  </r>
  <r>
    <s v="Del_Sudhir Kumar (1008644)"/>
    <x v="125"/>
    <d v="1899-12-30T08:00:18"/>
    <x v="130"/>
    <x v="124"/>
    <x v="68"/>
    <x v="131"/>
    <n v="1008644"/>
    <x v="2"/>
  </r>
  <r>
    <s v="Del_Sunil Kumar (1008645)"/>
    <x v="126"/>
    <d v="1899-12-30T08:03:26"/>
    <x v="131"/>
    <x v="125"/>
    <x v="5"/>
    <x v="132"/>
    <n v="1008645"/>
    <x v="2"/>
  </r>
  <r>
    <s v="Del_Sunil Kumar (1008646)"/>
    <x v="126"/>
    <d v="1899-12-30T08:05:06"/>
    <x v="132"/>
    <x v="126"/>
    <x v="4"/>
    <x v="133"/>
    <n v="1008646"/>
    <x v="2"/>
  </r>
  <r>
    <s v="Del_Sunita Chawla (1008647)"/>
    <x v="127"/>
    <d v="1899-12-30T08:05:25"/>
    <x v="133"/>
    <x v="127"/>
    <x v="69"/>
    <x v="134"/>
    <n v="1008647"/>
    <x v="2"/>
  </r>
  <r>
    <s v="Del_Sunita Madnani (1008648)"/>
    <x v="128"/>
    <d v="1899-12-30T08:14:02"/>
    <x v="134"/>
    <x v="128"/>
    <x v="70"/>
    <x v="135"/>
    <n v="1008648"/>
    <x v="2"/>
  </r>
  <r>
    <s v="Del_Surendra Kumar (1008649)"/>
    <x v="129"/>
    <d v="1899-12-30T07:29:10"/>
    <x v="135"/>
    <x v="129"/>
    <x v="71"/>
    <x v="136"/>
    <n v="1008649"/>
    <x v="2"/>
  </r>
  <r>
    <s v="Del_Surendranath Thakur (1008650)"/>
    <x v="130"/>
    <d v="1899-12-30T08:33:53"/>
    <x v="136"/>
    <x v="130"/>
    <x v="72"/>
    <x v="137"/>
    <n v="1008650"/>
    <x v="2"/>
  </r>
  <r>
    <s v="Del_Sushma Khandelwal (1008651)"/>
    <x v="131"/>
    <d v="1899-12-30T08:15:15"/>
    <x v="137"/>
    <x v="131"/>
    <x v="0"/>
    <x v="138"/>
    <n v="1008651"/>
    <x v="2"/>
  </r>
  <r>
    <s v="Del_Swarnlata Borse (1008652)"/>
    <x v="132"/>
    <d v="1899-12-30T08:19:05"/>
    <x v="138"/>
    <x v="132"/>
    <x v="73"/>
    <x v="139"/>
    <n v="1008652"/>
    <x v="2"/>
  </r>
  <r>
    <s v="Del_Syed Naved (1008653)"/>
    <x v="133"/>
    <d v="1899-12-30T08:13:39"/>
    <x v="139"/>
    <x v="48"/>
    <x v="74"/>
    <x v="140"/>
    <n v="1008653"/>
    <x v="2"/>
  </r>
  <r>
    <s v="Del_Syed Saqib (1008654)"/>
    <x v="134"/>
    <d v="1899-12-30T08:24:48"/>
    <x v="140"/>
    <x v="133"/>
    <x v="75"/>
    <x v="141"/>
    <n v="1008654"/>
    <x v="2"/>
  </r>
  <r>
    <s v="Del_Syed Sohail (1008655)"/>
    <x v="135"/>
    <d v="1899-12-30T08:17:53"/>
    <x v="141"/>
    <x v="85"/>
    <x v="76"/>
    <x v="142"/>
    <n v="1008655"/>
    <x v="2"/>
  </r>
  <r>
    <s v="Del_System Operator (1008656)"/>
    <x v="136"/>
    <d v="1899-12-30T08:30:54"/>
    <x v="142"/>
    <x v="134"/>
    <x v="77"/>
    <x v="143"/>
    <n v="1008656"/>
    <x v="2"/>
  </r>
  <r>
    <s v="Del_Tahira Qureshi (1008657)"/>
    <x v="137"/>
    <d v="1899-12-30T08:46:13"/>
    <x v="143"/>
    <x v="135"/>
    <x v="78"/>
    <x v="144"/>
    <n v="1008657"/>
    <x v="2"/>
  </r>
  <r>
    <s v="Del_Tapas Chakraborty (1008658)"/>
    <x v="138"/>
    <d v="1899-12-30T08:14:56"/>
    <x v="144"/>
    <x v="136"/>
    <x v="79"/>
    <x v="145"/>
    <n v="1008658"/>
    <x v="2"/>
  </r>
  <r>
    <s v="Del_Tariq Akhlaq (1008659)"/>
    <x v="139"/>
    <d v="1899-12-30T04:59:55"/>
    <x v="145"/>
    <x v="137"/>
    <x v="80"/>
    <x v="146"/>
    <n v="1008659"/>
    <x v="2"/>
  </r>
  <r>
    <s v="Del_Tasneem Khan (1008660)"/>
    <x v="140"/>
    <d v="1899-12-30T08:33:55"/>
    <x v="146"/>
    <x v="126"/>
    <x v="81"/>
    <x v="147"/>
    <n v="100866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35EC51-5198-4BD7-B582-70B4380DDBC0}" name="PivotTable7"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EMP Names">
  <location ref="W13:W14" firstHeaderRow="1" firstDataRow="1" firstDataCol="0"/>
  <pivotFields count="9">
    <pivotField showAll="0"/>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numFmtId="165" showAll="0"/>
    <pivotField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dataField="1"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Items count="1">
    <i/>
  </rowItems>
  <colItems count="1">
    <i/>
  </colItems>
  <dataFields count="1">
    <dataField name="Average of Active With Cust." fld="6" subtotal="average" baseField="0" baseItem="0" numFmtId="9"/>
  </dataFields>
  <formats count="11">
    <format dxfId="1386">
      <pivotArea outline="0" collapsedLevelsAreSubtotals="1" fieldPosition="0"/>
    </format>
    <format dxfId="1385">
      <pivotArea type="all" dataOnly="0" outline="0" fieldPosition="0"/>
    </format>
    <format dxfId="1384">
      <pivotArea outline="0" collapsedLevelsAreSubtotals="1" fieldPosition="0"/>
    </format>
    <format dxfId="1383">
      <pivotArea outline="0" collapsedLevelsAreSubtotals="1" fieldPosition="0"/>
    </format>
    <format dxfId="1382">
      <pivotArea outline="0" fieldPosition="0">
        <references count="1">
          <reference field="4294967294" count="1">
            <x v="0"/>
          </reference>
        </references>
      </pivotArea>
    </format>
    <format dxfId="1381">
      <pivotArea type="all" dataOnly="0" outline="0" fieldPosition="0"/>
    </format>
    <format dxfId="1380">
      <pivotArea outline="0" collapsedLevelsAreSubtotals="1" fieldPosition="0"/>
    </format>
    <format dxfId="1379">
      <pivotArea dataOnly="0" labelOnly="1" outline="0" axis="axisValues" fieldPosition="0"/>
    </format>
    <format dxfId="64">
      <pivotArea type="all" dataOnly="0" outline="0" fieldPosition="0"/>
    </format>
    <format dxfId="63">
      <pivotArea outline="0" collapsedLevelsAreSubtotals="1" fieldPosition="0"/>
    </format>
    <format dxfId="6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5FE7A36-E5BE-4421-B4CC-FF41F7991810}" name="PivotTable14"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EMP Names">
  <location ref="AH5:AK146" firstHeaderRow="0" firstDataRow="1" firstDataCol="1" rowPageCount="1" colPageCount="1"/>
  <pivotFields count="9">
    <pivotField showAll="0"/>
    <pivotField axis="axisRow" showAll="0" sortType="descending">
      <items count="142">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autoSortScope>
        <pivotArea dataOnly="0" outline="0" fieldPosition="0">
          <references count="1">
            <reference field="4294967294" count="1" selected="0">
              <x v="0"/>
            </reference>
          </references>
        </pivotArea>
      </autoSortScope>
    </pivotField>
    <pivotField numFmtId="165" showAll="0"/>
    <pivotField dataField="1"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dataField="1"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axis="axisPage" dataField="1" numFmtId="9" multipleItemSelectionAllowed="1"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Fields count="1">
    <field x="1"/>
  </rowFields>
  <rowItems count="141">
    <i>
      <x v="133"/>
    </i>
    <i>
      <x v="38"/>
    </i>
    <i>
      <x v="119"/>
    </i>
    <i>
      <x v="99"/>
    </i>
    <i>
      <x v="104"/>
    </i>
    <i>
      <x v="7"/>
    </i>
    <i>
      <x v="32"/>
    </i>
    <i>
      <x v="12"/>
    </i>
    <i>
      <x v="25"/>
    </i>
    <i>
      <x v="100"/>
    </i>
    <i>
      <x v="63"/>
    </i>
    <i>
      <x v="4"/>
    </i>
    <i>
      <x v="2"/>
    </i>
    <i>
      <x v="113"/>
    </i>
    <i>
      <x v="69"/>
    </i>
    <i>
      <x v="66"/>
    </i>
    <i>
      <x v="23"/>
    </i>
    <i>
      <x v="97"/>
    </i>
    <i>
      <x v="62"/>
    </i>
    <i>
      <x v="18"/>
    </i>
    <i>
      <x v="116"/>
    </i>
    <i>
      <x v="33"/>
    </i>
    <i>
      <x v="60"/>
    </i>
    <i>
      <x v="118"/>
    </i>
    <i>
      <x v="112"/>
    </i>
    <i>
      <x v="87"/>
    </i>
    <i>
      <x v="90"/>
    </i>
    <i>
      <x v="61"/>
    </i>
    <i>
      <x v="110"/>
    </i>
    <i>
      <x v="55"/>
    </i>
    <i>
      <x v="36"/>
    </i>
    <i>
      <x v="34"/>
    </i>
    <i>
      <x v="122"/>
    </i>
    <i>
      <x v="111"/>
    </i>
    <i>
      <x v="31"/>
    </i>
    <i>
      <x v="75"/>
    </i>
    <i>
      <x v="139"/>
    </i>
    <i>
      <x v="103"/>
    </i>
    <i>
      <x v="124"/>
    </i>
    <i>
      <x v="58"/>
    </i>
    <i>
      <x v="131"/>
    </i>
    <i>
      <x v="140"/>
    </i>
    <i>
      <x v="126"/>
    </i>
    <i>
      <x v="105"/>
    </i>
    <i>
      <x v="117"/>
    </i>
    <i>
      <x v="106"/>
    </i>
    <i>
      <x v="130"/>
    </i>
    <i>
      <x v="20"/>
    </i>
    <i>
      <x v="78"/>
    </i>
    <i>
      <x v="123"/>
    </i>
    <i>
      <x v="50"/>
    </i>
    <i>
      <x v="132"/>
    </i>
    <i>
      <x v="41"/>
    </i>
    <i>
      <x v="37"/>
    </i>
    <i>
      <x v="5"/>
    </i>
    <i>
      <x v="28"/>
    </i>
    <i>
      <x v="107"/>
    </i>
    <i>
      <x v="91"/>
    </i>
    <i>
      <x v="9"/>
    </i>
    <i>
      <x v="138"/>
    </i>
    <i>
      <x v="47"/>
    </i>
    <i>
      <x v="92"/>
    </i>
    <i>
      <x v="96"/>
    </i>
    <i>
      <x v="74"/>
    </i>
    <i>
      <x v="53"/>
    </i>
    <i>
      <x v="76"/>
    </i>
    <i>
      <x v="128"/>
    </i>
    <i>
      <x v="79"/>
    </i>
    <i>
      <x v="95"/>
    </i>
    <i>
      <x v="127"/>
    </i>
    <i>
      <x v="93"/>
    </i>
    <i>
      <x v="46"/>
    </i>
    <i>
      <x/>
    </i>
    <i>
      <x v="35"/>
    </i>
    <i>
      <x v="10"/>
    </i>
    <i>
      <x v="77"/>
    </i>
    <i>
      <x v="15"/>
    </i>
    <i>
      <x v="114"/>
    </i>
    <i>
      <x v="125"/>
    </i>
    <i>
      <x v="30"/>
    </i>
    <i>
      <x v="109"/>
    </i>
    <i>
      <x v="13"/>
    </i>
    <i>
      <x v="29"/>
    </i>
    <i>
      <x v="88"/>
    </i>
    <i>
      <x v="59"/>
    </i>
    <i>
      <x v="70"/>
    </i>
    <i>
      <x v="73"/>
    </i>
    <i>
      <x v="89"/>
    </i>
    <i>
      <x v="43"/>
    </i>
    <i>
      <x v="44"/>
    </i>
    <i>
      <x v="137"/>
    </i>
    <i>
      <x v="48"/>
    </i>
    <i>
      <x v="83"/>
    </i>
    <i>
      <x v="120"/>
    </i>
    <i>
      <x v="98"/>
    </i>
    <i>
      <x v="134"/>
    </i>
    <i>
      <x v="21"/>
    </i>
    <i>
      <x v="115"/>
    </i>
    <i>
      <x v="17"/>
    </i>
    <i>
      <x v="121"/>
    </i>
    <i>
      <x v="65"/>
    </i>
    <i>
      <x v="39"/>
    </i>
    <i>
      <x v="85"/>
    </i>
    <i>
      <x v="108"/>
    </i>
    <i>
      <x v="71"/>
    </i>
    <i>
      <x v="72"/>
    </i>
    <i>
      <x v="57"/>
    </i>
    <i>
      <x v="82"/>
    </i>
    <i>
      <x v="102"/>
    </i>
    <i>
      <x v="81"/>
    </i>
    <i>
      <x v="129"/>
    </i>
    <i>
      <x v="22"/>
    </i>
    <i>
      <x v="135"/>
    </i>
    <i>
      <x v="24"/>
    </i>
    <i>
      <x v="64"/>
    </i>
    <i>
      <x v="84"/>
    </i>
    <i>
      <x v="3"/>
    </i>
    <i>
      <x v="14"/>
    </i>
    <i>
      <x v="26"/>
    </i>
    <i>
      <x v="27"/>
    </i>
    <i>
      <x v="54"/>
    </i>
    <i>
      <x v="101"/>
    </i>
    <i>
      <x v="136"/>
    </i>
    <i>
      <x v="80"/>
    </i>
    <i>
      <x v="94"/>
    </i>
    <i>
      <x v="86"/>
    </i>
    <i>
      <x v="1"/>
    </i>
    <i>
      <x v="68"/>
    </i>
    <i>
      <x v="8"/>
    </i>
    <i>
      <x v="11"/>
    </i>
    <i>
      <x v="67"/>
    </i>
    <i>
      <x v="19"/>
    </i>
    <i>
      <x v="45"/>
    </i>
    <i>
      <x v="6"/>
    </i>
    <i>
      <x v="16"/>
    </i>
    <i>
      <x v="42"/>
    </i>
    <i>
      <x v="49"/>
    </i>
    <i>
      <x v="51"/>
    </i>
    <i>
      <x v="56"/>
    </i>
    <i>
      <x v="52"/>
    </i>
    <i>
      <x v="40"/>
    </i>
  </rowItems>
  <colFields count="1">
    <field x="-2"/>
  </colFields>
  <colItems count="3">
    <i>
      <x/>
    </i>
    <i i="1">
      <x v="1"/>
    </i>
    <i i="2">
      <x v="2"/>
    </i>
  </colItems>
  <pageFields count="1">
    <pageField fld="6" hier="-1"/>
  </pageFields>
  <dataFields count="3">
    <dataField name="Average of Work Efficiency " fld="3" subtotal="average" baseField="1" baseItem="38" numFmtId="21"/>
    <dataField name="Sum of Attended Calls" fld="5" baseField="0" baseItem="0"/>
    <dataField name="Average of Active With Cust." fld="6" subtotal="average" baseField="1" baseItem="0" numFmtId="9"/>
  </dataFields>
  <formats count="14">
    <format dxfId="1393">
      <pivotArea type="all" dataOnly="0" outline="0" fieldPosition="0"/>
    </format>
    <format dxfId="1392">
      <pivotArea outline="0" collapsedLevelsAreSubtotals="1" fieldPosition="0"/>
    </format>
    <format dxfId="1391">
      <pivotArea field="1" type="button" dataOnly="0" labelOnly="1" outline="0" axis="axisRow" fieldPosition="0"/>
    </format>
    <format dxfId="1390">
      <pivotArea dataOnly="0" labelOnly="1" fieldPosition="0">
        <references count="1">
          <reference field="1" count="50">
            <x v="2"/>
            <x v="4"/>
            <x v="7"/>
            <x v="12"/>
            <x v="18"/>
            <x v="20"/>
            <x v="23"/>
            <x v="25"/>
            <x v="31"/>
            <x v="32"/>
            <x v="33"/>
            <x v="34"/>
            <x v="36"/>
            <x v="38"/>
            <x v="55"/>
            <x v="58"/>
            <x v="60"/>
            <x v="61"/>
            <x v="62"/>
            <x v="63"/>
            <x v="66"/>
            <x v="69"/>
            <x v="75"/>
            <x v="78"/>
            <x v="87"/>
            <x v="90"/>
            <x v="97"/>
            <x v="99"/>
            <x v="100"/>
            <x v="103"/>
            <x v="104"/>
            <x v="105"/>
            <x v="106"/>
            <x v="110"/>
            <x v="111"/>
            <x v="112"/>
            <x v="113"/>
            <x v="116"/>
            <x v="117"/>
            <x v="118"/>
            <x v="119"/>
            <x v="122"/>
            <x v="123"/>
            <x v="124"/>
            <x v="126"/>
            <x v="130"/>
            <x v="131"/>
            <x v="133"/>
            <x v="139"/>
            <x v="140"/>
          </reference>
        </references>
      </pivotArea>
    </format>
    <format dxfId="1389">
      <pivotArea dataOnly="0" labelOnly="1" fieldPosition="0">
        <references count="1">
          <reference field="1" count="50">
            <x v="0"/>
            <x v="5"/>
            <x v="9"/>
            <x v="10"/>
            <x v="13"/>
            <x v="15"/>
            <x v="17"/>
            <x v="21"/>
            <x v="28"/>
            <x v="29"/>
            <x v="30"/>
            <x v="35"/>
            <x v="37"/>
            <x v="41"/>
            <x v="43"/>
            <x v="44"/>
            <x v="46"/>
            <x v="47"/>
            <x v="48"/>
            <x v="50"/>
            <x v="53"/>
            <x v="59"/>
            <x v="70"/>
            <x v="73"/>
            <x v="74"/>
            <x v="76"/>
            <x v="77"/>
            <x v="79"/>
            <x v="83"/>
            <x v="88"/>
            <x v="89"/>
            <x v="91"/>
            <x v="92"/>
            <x v="93"/>
            <x v="95"/>
            <x v="96"/>
            <x v="98"/>
            <x v="107"/>
            <x v="109"/>
            <x v="114"/>
            <x v="115"/>
            <x v="120"/>
            <x v="121"/>
            <x v="125"/>
            <x v="127"/>
            <x v="128"/>
            <x v="132"/>
            <x v="134"/>
            <x v="137"/>
            <x v="138"/>
          </reference>
        </references>
      </pivotArea>
    </format>
    <format dxfId="1388">
      <pivotArea dataOnly="0" labelOnly="1" fieldPosition="0">
        <references count="1">
          <reference field="1" count="41">
            <x v="1"/>
            <x v="3"/>
            <x v="6"/>
            <x v="8"/>
            <x v="11"/>
            <x v="14"/>
            <x v="16"/>
            <x v="19"/>
            <x v="22"/>
            <x v="24"/>
            <x v="26"/>
            <x v="27"/>
            <x v="39"/>
            <x v="40"/>
            <x v="42"/>
            <x v="45"/>
            <x v="49"/>
            <x v="51"/>
            <x v="52"/>
            <x v="54"/>
            <x v="56"/>
            <x v="57"/>
            <x v="64"/>
            <x v="65"/>
            <x v="67"/>
            <x v="68"/>
            <x v="71"/>
            <x v="72"/>
            <x v="80"/>
            <x v="81"/>
            <x v="82"/>
            <x v="84"/>
            <x v="85"/>
            <x v="86"/>
            <x v="94"/>
            <x v="101"/>
            <x v="102"/>
            <x v="108"/>
            <x v="129"/>
            <x v="135"/>
            <x v="136"/>
          </reference>
        </references>
      </pivotArea>
    </format>
    <format dxfId="1387">
      <pivotArea dataOnly="0" labelOnly="1" outline="0" fieldPosition="0">
        <references count="1">
          <reference field="4294967294" count="3">
            <x v="0"/>
            <x v="1"/>
            <x v="2"/>
          </reference>
        </references>
      </pivotArea>
    </format>
    <format dxfId="60">
      <pivotArea type="all" dataOnly="0" outline="0" fieldPosition="0"/>
    </format>
    <format dxfId="59">
      <pivotArea outline="0" collapsedLevelsAreSubtotals="1" fieldPosition="0"/>
    </format>
    <format dxfId="58">
      <pivotArea field="1" type="button" dataOnly="0" labelOnly="1" outline="0" axis="axisRow" fieldPosition="0"/>
    </format>
    <format dxfId="57">
      <pivotArea dataOnly="0" labelOnly="1" fieldPosition="0">
        <references count="1">
          <reference field="1" count="50">
            <x v="2"/>
            <x v="4"/>
            <x v="7"/>
            <x v="12"/>
            <x v="18"/>
            <x v="20"/>
            <x v="23"/>
            <x v="25"/>
            <x v="31"/>
            <x v="32"/>
            <x v="33"/>
            <x v="34"/>
            <x v="36"/>
            <x v="38"/>
            <x v="55"/>
            <x v="58"/>
            <x v="60"/>
            <x v="61"/>
            <x v="62"/>
            <x v="63"/>
            <x v="66"/>
            <x v="69"/>
            <x v="75"/>
            <x v="78"/>
            <x v="87"/>
            <x v="90"/>
            <x v="97"/>
            <x v="99"/>
            <x v="100"/>
            <x v="103"/>
            <x v="104"/>
            <x v="105"/>
            <x v="106"/>
            <x v="110"/>
            <x v="111"/>
            <x v="112"/>
            <x v="113"/>
            <x v="116"/>
            <x v="117"/>
            <x v="118"/>
            <x v="119"/>
            <x v="122"/>
            <x v="123"/>
            <x v="124"/>
            <x v="126"/>
            <x v="130"/>
            <x v="131"/>
            <x v="133"/>
            <x v="139"/>
            <x v="140"/>
          </reference>
        </references>
      </pivotArea>
    </format>
    <format dxfId="56">
      <pivotArea dataOnly="0" labelOnly="1" fieldPosition="0">
        <references count="1">
          <reference field="1" count="50">
            <x v="0"/>
            <x v="5"/>
            <x v="9"/>
            <x v="10"/>
            <x v="13"/>
            <x v="15"/>
            <x v="17"/>
            <x v="21"/>
            <x v="28"/>
            <x v="29"/>
            <x v="30"/>
            <x v="35"/>
            <x v="37"/>
            <x v="41"/>
            <x v="43"/>
            <x v="44"/>
            <x v="46"/>
            <x v="47"/>
            <x v="48"/>
            <x v="50"/>
            <x v="53"/>
            <x v="59"/>
            <x v="70"/>
            <x v="73"/>
            <x v="74"/>
            <x v="76"/>
            <x v="77"/>
            <x v="79"/>
            <x v="83"/>
            <x v="88"/>
            <x v="89"/>
            <x v="91"/>
            <x v="92"/>
            <x v="93"/>
            <x v="95"/>
            <x v="96"/>
            <x v="98"/>
            <x v="107"/>
            <x v="109"/>
            <x v="114"/>
            <x v="115"/>
            <x v="120"/>
            <x v="121"/>
            <x v="125"/>
            <x v="127"/>
            <x v="128"/>
            <x v="132"/>
            <x v="134"/>
            <x v="137"/>
            <x v="138"/>
          </reference>
        </references>
      </pivotArea>
    </format>
    <format dxfId="55">
      <pivotArea dataOnly="0" labelOnly="1" fieldPosition="0">
        <references count="1">
          <reference field="1" count="41">
            <x v="1"/>
            <x v="3"/>
            <x v="6"/>
            <x v="8"/>
            <x v="11"/>
            <x v="14"/>
            <x v="16"/>
            <x v="19"/>
            <x v="22"/>
            <x v="24"/>
            <x v="26"/>
            <x v="27"/>
            <x v="39"/>
            <x v="40"/>
            <x v="42"/>
            <x v="45"/>
            <x v="49"/>
            <x v="51"/>
            <x v="52"/>
            <x v="54"/>
            <x v="56"/>
            <x v="57"/>
            <x v="64"/>
            <x v="65"/>
            <x v="67"/>
            <x v="68"/>
            <x v="71"/>
            <x v="72"/>
            <x v="80"/>
            <x v="81"/>
            <x v="82"/>
            <x v="84"/>
            <x v="85"/>
            <x v="86"/>
            <x v="94"/>
            <x v="101"/>
            <x v="102"/>
            <x v="108"/>
            <x v="129"/>
            <x v="135"/>
            <x v="136"/>
          </reference>
        </references>
      </pivotArea>
    </format>
    <format dxfId="54">
      <pivotArea dataOnly="0" labelOnly="1" outline="0" fieldPosition="0">
        <references count="1">
          <reference field="4294967294" count="3">
            <x v="0"/>
            <x v="1"/>
            <x v="2"/>
          </reference>
        </references>
      </pivotArea>
    </format>
  </formats>
  <conditionalFormats count="3">
    <conditionalFormat priority="1">
      <pivotAreas count="1">
        <pivotArea type="data" outline="0" collapsedLevelsAreSubtotals="1" fieldPosition="0">
          <references count="1">
            <reference field="4294967294" count="1" selected="0">
              <x v="0"/>
            </reference>
          </references>
        </pivotArea>
      </pivotAreas>
    </conditionalFormat>
    <conditionalFormat priority="2">
      <pivotAreas count="1">
        <pivotArea type="data" outline="0" collapsedLevelsAreSubtotals="1" fieldPosition="0">
          <references count="1">
            <reference field="4294967294" count="1" selected="0">
              <x v="0"/>
            </reference>
          </references>
        </pivotArea>
      </pivotAreas>
    </conditionalFormat>
    <conditionalFormat scope="field" type="all" priority="3">
      <pivotAreas count="1">
        <pivotArea outline="0" collapsedLevelsAreSubtotals="1" fieldPosition="0">
          <references count="2">
            <reference field="4294967294" count="1" selected="0">
              <x v="0"/>
            </reference>
            <reference field="1" count="0" selected="0"/>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E629B94-DD2A-476C-A372-60FC533DD853}" name="PivotTable8"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EMP Names">
  <location ref="W16:W17" firstHeaderRow="1" firstDataRow="1" firstDataCol="0"/>
  <pivotFields count="9">
    <pivotField showAll="0"/>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dataField="1" numFmtId="165" showAll="0"/>
    <pivotField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Items count="1">
    <i/>
  </rowItems>
  <colItems count="1">
    <i/>
  </colItems>
  <dataFields count="1">
    <dataField name="Sum of Total Number of woking hours" fld="2" baseField="0" baseItem="0" numFmtId="21"/>
  </dataFields>
  <formats count="8">
    <format dxfId="1398">
      <pivotArea outline="0" collapsedLevelsAreSubtotals="1" fieldPosition="0"/>
    </format>
    <format dxfId="1397">
      <pivotArea outline="0" fieldPosition="0">
        <references count="1">
          <reference field="4294967294" count="1">
            <x v="0"/>
          </reference>
        </references>
      </pivotArea>
    </format>
    <format dxfId="1396">
      <pivotArea type="all" dataOnly="0" outline="0" fieldPosition="0"/>
    </format>
    <format dxfId="1395">
      <pivotArea outline="0" collapsedLevelsAreSubtotals="1" fieldPosition="0"/>
    </format>
    <format dxfId="1394">
      <pivotArea dataOnly="0" labelOnly="1" outline="0" axis="axisValues" fieldPosition="0"/>
    </format>
    <format dxfId="53">
      <pivotArea type="all" dataOnly="0" outline="0" fieldPosition="0"/>
    </format>
    <format dxfId="52">
      <pivotArea outline="0" collapsedLevelsAreSubtotals="1" fieldPosition="0"/>
    </format>
    <format dxfId="5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9B4AF0F-E3E1-48EB-B531-4917B180FE30}" name="PivotTable2"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0" rowHeaderCaption="EMP Names">
  <location ref="D10:E18" firstHeaderRow="1" firstDataRow="1" firstDataCol="1"/>
  <pivotFields count="9">
    <pivotField showAll="0"/>
    <pivotField axis="axisRow" showAll="0" measureFilter="1">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numFmtId="165" showAll="0"/>
    <pivotField dataField="1"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Fields count="1">
    <field x="1"/>
  </rowFields>
  <rowItems count="8">
    <i>
      <x v="7"/>
    </i>
    <i>
      <x v="15"/>
    </i>
    <i>
      <x v="21"/>
    </i>
    <i>
      <x v="52"/>
    </i>
    <i>
      <x v="85"/>
    </i>
    <i>
      <x v="102"/>
    </i>
    <i>
      <x v="109"/>
    </i>
    <i>
      <x v="126"/>
    </i>
  </rowItems>
  <colItems count="1">
    <i/>
  </colItems>
  <dataFields count="1">
    <dataField name="Total no. of Work Efficiency in hours" fld="3" baseField="1" baseItem="7" numFmtId="46"/>
  </dataFields>
  <formats count="3">
    <format dxfId="1401">
      <pivotArea dataOnly="0" fieldPosition="0">
        <references count="1">
          <reference field="1" count="5">
            <x v="15"/>
            <x v="52"/>
            <x v="85"/>
            <x v="109"/>
            <x v="126"/>
          </reference>
        </references>
      </pivotArea>
    </format>
    <format dxfId="1400">
      <pivotArea dataOnly="0" fieldPosition="0">
        <references count="1">
          <reference field="1" count="9">
            <x v="7"/>
            <x v="15"/>
            <x v="21"/>
            <x v="41"/>
            <x v="52"/>
            <x v="85"/>
            <x v="102"/>
            <x v="109"/>
            <x v="126"/>
          </reference>
        </references>
      </pivotArea>
    </format>
    <format dxfId="1399">
      <pivotArea outline="0" fieldPosition="0">
        <references count="1">
          <reference field="4294967294" count="1">
            <x v="0"/>
          </reference>
        </references>
      </pivotArea>
    </format>
  </formats>
  <chartFormats count="6">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15"/>
          </reference>
        </references>
      </pivotArea>
    </chartFormat>
    <chartFormat chart="3" format="2">
      <pivotArea type="data" outline="0" fieldPosition="0">
        <references count="2">
          <reference field="4294967294" count="1" selected="0">
            <x v="0"/>
          </reference>
          <reference field="1" count="1" selected="0">
            <x v="52"/>
          </reference>
        </references>
      </pivotArea>
    </chartFormat>
    <chartFormat chart="3" format="3">
      <pivotArea type="data" outline="0" fieldPosition="0">
        <references count="2">
          <reference field="4294967294" count="1" selected="0">
            <x v="0"/>
          </reference>
          <reference field="1" count="1" selected="0">
            <x v="85"/>
          </reference>
        </references>
      </pivotArea>
    </chartFormat>
    <chartFormat chart="3" format="4">
      <pivotArea type="data" outline="0" fieldPosition="0">
        <references count="2">
          <reference field="4294967294" count="1" selected="0">
            <x v="0"/>
          </reference>
          <reference field="1" count="1" selected="0">
            <x v="109"/>
          </reference>
        </references>
      </pivotArea>
    </chartFormat>
    <chartFormat chart="3" format="5">
      <pivotArea type="data" outline="0" fieldPosition="0">
        <references count="2">
          <reference field="4294967294" count="1" selected="0">
            <x v="0"/>
          </reference>
          <reference field="1" count="1" selected="0">
            <x v="126"/>
          </reference>
        </references>
      </pivotArea>
    </chartFormat>
  </chartFormats>
  <pivotTableStyleInfo name="PivotStyleLight16" showRowHeaders="1" showColHeaders="1" showRowStripes="0" showColStripes="0" showLastColumn="1"/>
  <filters count="1">
    <filter fld="1" type="count" evalOrder="-1" id="225"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DF3A6FD-774A-4E71-8007-B39D0FBC90D9}" name="PivotTable11"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EMP Names">
  <location ref="AA10:AF151" firstHeaderRow="0" firstDataRow="1" firstDataCol="1"/>
  <pivotFields count="9">
    <pivotField showAll="0"/>
    <pivotField axis="axisRow"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dataField="1" numFmtId="165" showAll="0"/>
    <pivotField dataField="1"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dataField="1"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dataField="1"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dataField="1"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Fields count="1">
    <field x="1"/>
  </rowFields>
  <rowItems count="1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rowItems>
  <colFields count="1">
    <field x="-2"/>
  </colFields>
  <colItems count="5">
    <i>
      <x/>
    </i>
    <i i="1">
      <x v="1"/>
    </i>
    <i i="2">
      <x v="2"/>
    </i>
    <i i="3">
      <x v="3"/>
    </i>
    <i i="4">
      <x v="4"/>
    </i>
  </colItems>
  <dataFields count="5">
    <dataField name="Sum of Attended Calls" fld="5" baseField="0" baseItem="0"/>
    <dataField name="Sum of Total Number of woking hours" fld="2" baseField="1" baseItem="0" numFmtId="21"/>
    <dataField name="Sum of Total Break Taken" fld="4" baseField="1" baseItem="0" numFmtId="21"/>
    <dataField name="Sum of Work Efficiency " fld="3" baseField="1" baseItem="0" numFmtId="166"/>
    <dataField name="Sum of Active With Cust." fld="6" baseField="0" baseItem="0" numFmtId="9"/>
  </dataFields>
  <formats count="14">
    <format dxfId="1408">
      <pivotArea type="all" dataOnly="0" outline="0" fieldPosition="0"/>
    </format>
    <format dxfId="1407">
      <pivotArea outline="0" collapsedLevelsAreSubtotals="1" fieldPosition="0"/>
    </format>
    <format dxfId="1406">
      <pivotArea field="1" type="button" dataOnly="0" labelOnly="1" outline="0" axis="axisRow" fieldPosition="0"/>
    </format>
    <format dxfId="1405">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404">
      <pivotArea dataOnly="0" labelOnly="1" fieldPosition="0">
        <references count="1">
          <reference field="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403">
      <pivotArea dataOnly="0" labelOnly="1" fieldPosition="0">
        <references count="1">
          <reference field="1" count="41">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reference>
        </references>
      </pivotArea>
    </format>
    <format dxfId="1402">
      <pivotArea dataOnly="0" labelOnly="1" outline="0" fieldPosition="0">
        <references count="1">
          <reference field="4294967294" count="5">
            <x v="0"/>
            <x v="1"/>
            <x v="2"/>
            <x v="3"/>
            <x v="4"/>
          </reference>
        </references>
      </pivotArea>
    </format>
    <format dxfId="49">
      <pivotArea type="all" dataOnly="0" outline="0" fieldPosition="0"/>
    </format>
    <format dxfId="48">
      <pivotArea outline="0" collapsedLevelsAreSubtotals="1" fieldPosition="0"/>
    </format>
    <format dxfId="47">
      <pivotArea field="1" type="button" dataOnly="0" labelOnly="1" outline="0" axis="axisRow" fieldPosition="0"/>
    </format>
    <format dxfId="46">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5">
      <pivotArea dataOnly="0" labelOnly="1" fieldPosition="0">
        <references count="1">
          <reference field="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4">
      <pivotArea dataOnly="0" labelOnly="1" fieldPosition="0">
        <references count="1">
          <reference field="1" count="41">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reference>
        </references>
      </pivotArea>
    </format>
    <format dxfId="43">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0D4E489-FF0C-4A58-948F-4081B82F86AF}" name="PivotTable5"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EMP Names">
  <location ref="W22:W23" firstHeaderRow="1" firstDataRow="1" firstDataCol="0"/>
  <pivotFields count="9">
    <pivotField showAll="0"/>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dataField="1" numFmtId="165" showAll="0"/>
    <pivotField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Items count="1">
    <i/>
  </rowItems>
  <colItems count="1">
    <i/>
  </colItems>
  <dataFields count="1">
    <dataField name="Average oF working hours" fld="2" subtotal="average" baseField="0" baseItem="0" numFmtId="21"/>
  </dataFields>
  <formats count="6">
    <format dxfId="1411">
      <pivotArea type="all" dataOnly="0" outline="0" fieldPosition="0"/>
    </format>
    <format dxfId="1410">
      <pivotArea outline="0" collapsedLevelsAreSubtotals="1" fieldPosition="0"/>
    </format>
    <format dxfId="1409">
      <pivotArea dataOnly="0" labelOnly="1" outline="0" axis="axisValues" fieldPosition="0"/>
    </format>
    <format dxfId="42">
      <pivotArea type="all" dataOnly="0" outline="0" fieldPosition="0"/>
    </format>
    <format dxfId="41">
      <pivotArea outline="0" collapsedLevelsAreSubtotals="1" fieldPosition="0"/>
    </format>
    <format dxfId="4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0CEC8A0-7BCE-4C16-A749-9122549FD0B6}" name="PivotTable4"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0" rowHeaderCaption="EMP Names">
  <location ref="J10:K16" firstHeaderRow="1" firstDataRow="1" firstDataCol="1"/>
  <pivotFields count="9">
    <pivotField showAll="0"/>
    <pivotField axis="axisRow" showAll="0" measureFilter="1">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numFmtId="165" showAll="0"/>
    <pivotField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dataField="1"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Fields count="1">
    <field x="1"/>
  </rowFields>
  <rowItems count="6">
    <i>
      <x v="5"/>
    </i>
    <i>
      <x v="22"/>
    </i>
    <i>
      <x v="39"/>
    </i>
    <i>
      <x v="41"/>
    </i>
    <i>
      <x v="56"/>
    </i>
    <i>
      <x v="86"/>
    </i>
  </rowItems>
  <colItems count="1">
    <i/>
  </colItems>
  <dataFields count="1">
    <dataField name="Average of Active With Customers" fld="6" subtotal="average" baseField="1" baseItem="5" numFmtId="9"/>
  </dataFields>
  <formats count="6">
    <format dxfId="1417">
      <pivotArea dataOnly="0" labelOnly="1" outline="0" axis="axisValues" fieldPosition="0"/>
    </format>
    <format dxfId="1416">
      <pivotArea outline="0" collapsedLevelsAreSubtotals="1" fieldPosition="0"/>
    </format>
    <format dxfId="1415">
      <pivotArea outline="0" collapsedLevelsAreSubtotals="1" fieldPosition="0"/>
    </format>
    <format dxfId="1414">
      <pivotArea dataOnly="0" labelOnly="1" fieldPosition="0">
        <references count="1">
          <reference field="1" count="5">
            <x v="5"/>
            <x v="22"/>
            <x v="39"/>
            <x v="41"/>
            <x v="56"/>
          </reference>
        </references>
      </pivotArea>
    </format>
    <format dxfId="1413">
      <pivotArea outline="0" collapsedLevelsAreSubtotals="1" fieldPosition="0"/>
    </format>
    <format dxfId="1412">
      <pivotArea dataOnly="0" labelOnly="1" fieldPosition="0">
        <references count="1">
          <reference field="1" count="5">
            <x v="5"/>
            <x v="22"/>
            <x v="39"/>
            <x v="41"/>
            <x v="56"/>
          </reference>
        </references>
      </pivotArea>
    </format>
  </formats>
  <chartFormats count="9">
    <chartFormat chart="11" format="0" series="1">
      <pivotArea type="data" outline="0" fieldPosition="0">
        <references count="1">
          <reference field="4294967294" count="1" selected="0">
            <x v="0"/>
          </reference>
        </references>
      </pivotArea>
    </chartFormat>
    <chartFormat chart="11" format="1">
      <pivotArea type="data" outline="0" fieldPosition="0">
        <references count="2">
          <reference field="4294967294" count="1" selected="0">
            <x v="0"/>
          </reference>
          <reference field="1" count="1" selected="0">
            <x v="15"/>
          </reference>
        </references>
      </pivotArea>
    </chartFormat>
    <chartFormat chart="11" format="2">
      <pivotArea type="data" outline="0" fieldPosition="0">
        <references count="2">
          <reference field="4294967294" count="1" selected="0">
            <x v="0"/>
          </reference>
          <reference field="1" count="1" selected="0">
            <x v="52"/>
          </reference>
        </references>
      </pivotArea>
    </chartFormat>
    <chartFormat chart="11" format="3">
      <pivotArea type="data" outline="0" fieldPosition="0">
        <references count="2">
          <reference field="4294967294" count="1" selected="0">
            <x v="0"/>
          </reference>
          <reference field="1" count="1" selected="0">
            <x v="126"/>
          </reference>
        </references>
      </pivotArea>
    </chartFormat>
    <chartFormat chart="11" format="4">
      <pivotArea type="data" outline="0" fieldPosition="0">
        <references count="2">
          <reference field="4294967294" count="1" selected="0">
            <x v="0"/>
          </reference>
          <reference field="1" count="1" selected="0">
            <x v="109"/>
          </reference>
        </references>
      </pivotArea>
    </chartFormat>
    <chartFormat chart="11" format="5">
      <pivotArea type="data" outline="0" fieldPosition="0">
        <references count="2">
          <reference field="4294967294" count="1" selected="0">
            <x v="0"/>
          </reference>
          <reference field="1" count="1" selected="0">
            <x v="85"/>
          </reference>
        </references>
      </pivotArea>
    </chartFormat>
    <chartFormat chart="11" format="6">
      <pivotArea type="data" outline="0" fieldPosition="0">
        <references count="2">
          <reference field="4294967294" count="1" selected="0">
            <x v="0"/>
          </reference>
          <reference field="1" count="1" selected="0">
            <x v="41"/>
          </reference>
        </references>
      </pivotArea>
    </chartFormat>
    <chartFormat chart="11" format="7">
      <pivotArea type="data" outline="0" fieldPosition="0">
        <references count="2">
          <reference field="4294967294" count="1" selected="0">
            <x v="0"/>
          </reference>
          <reference field="1" count="1" selected="0">
            <x v="5"/>
          </reference>
        </references>
      </pivotArea>
    </chartFormat>
    <chartFormat chart="11" format="8">
      <pivotArea type="data" outline="0" fieldPosition="0">
        <references count="2">
          <reference field="4294967294" count="1" selected="0">
            <x v="0"/>
          </reference>
          <reference field="1" count="1" selected="0">
            <x v="22"/>
          </reference>
        </references>
      </pivotArea>
    </chartFormat>
  </chartFormats>
  <pivotTableStyleInfo name="PivotStyleLight16" showRowHeaders="1" showColHeaders="1" showRowStripes="0" showColStripes="0" showLastColumn="1"/>
  <filters count="1">
    <filter fld="1" type="count" evalOrder="-1" id="198"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8BF50B3-57E2-422D-A8D0-19D2EA9FE590}" name="PivotTable1"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EMP Names">
  <location ref="A10:B15" firstHeaderRow="1" firstDataRow="1" firstDataCol="1"/>
  <pivotFields count="9">
    <pivotField showAll="0"/>
    <pivotField axis="axisRow" showAll="0" measureFilter="1">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dataField="1" numFmtId="165" showAll="0"/>
    <pivotField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Fields count="1">
    <field x="1"/>
  </rowFields>
  <rowItems count="5">
    <i>
      <x v="15"/>
    </i>
    <i>
      <x v="52"/>
    </i>
    <i>
      <x v="85"/>
    </i>
    <i>
      <x v="109"/>
    </i>
    <i>
      <x v="126"/>
    </i>
  </rowItems>
  <colItems count="1">
    <i/>
  </colItems>
  <dataFields count="1">
    <dataField name="Total Number of working hours" fld="2" baseField="1" baseItem="15" numFmtId="165"/>
  </dataFields>
  <formats count="2">
    <format dxfId="1419">
      <pivotArea dataOnly="0" fieldPosition="0">
        <references count="1">
          <reference field="1" count="6">
            <x v="7"/>
            <x v="15"/>
            <x v="52"/>
            <x v="85"/>
            <x v="109"/>
            <x v="126"/>
          </reference>
        </references>
      </pivotArea>
    </format>
    <format dxfId="1418">
      <pivotArea dataOnly="0" fieldPosition="0">
        <references count="1">
          <reference field="1" count="9">
            <x v="7"/>
            <x v="15"/>
            <x v="52"/>
            <x v="85"/>
            <x v="109"/>
            <x v="117"/>
            <x v="126"/>
            <x v="137"/>
            <x v="14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s>
  <pivotTableStyleInfo name="PivotStyleLight16" showRowHeaders="1" showColHeaders="1" showRowStripes="0" showColStripes="0" showLastColumn="1"/>
  <filters count="1">
    <filter fld="1" type="count" evalOrder="-1" id="29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77CC355-F378-41E1-8E53-962A6D30110A}" name="PivotTable9"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EMP Names">
  <location ref="W19:W20" firstHeaderRow="1" firstDataRow="1" firstDataCol="0"/>
  <pivotFields count="9">
    <pivotField showAll="0"/>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numFmtId="165" showAll="0"/>
    <pivotField dataField="1"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Items count="1">
    <i/>
  </rowItems>
  <colItems count="1">
    <i/>
  </colItems>
  <dataFields count="1">
    <dataField name="Sum of Work Efficiency " fld="3" baseField="0" baseItem="0" numFmtId="21"/>
  </dataFields>
  <formats count="6">
    <format dxfId="1422">
      <pivotArea type="all" dataOnly="0" outline="0" fieldPosition="0"/>
    </format>
    <format dxfId="1421">
      <pivotArea outline="0" collapsedLevelsAreSubtotals="1" fieldPosition="0"/>
    </format>
    <format dxfId="1420">
      <pivotArea dataOnly="0" labelOnly="1" outline="0" axis="axisValues" fieldPosition="0"/>
    </format>
    <format dxfId="38">
      <pivotArea type="all" dataOnly="0" outline="0" fieldPosition="0"/>
    </format>
    <format dxfId="37">
      <pivotArea outline="0" collapsedLevelsAreSubtotals="1" fieldPosition="0"/>
    </format>
    <format dxfId="3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0446D53-5795-4768-828B-F841D4883C5E}" name="PivotTable15"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8" rowHeaderCaption="EMP Names">
  <location ref="AP8:AQ11" firstHeaderRow="1" firstDataRow="1" firstDataCol="1"/>
  <pivotFields count="9">
    <pivotField showAll="0"/>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numFmtId="165" showAll="0"/>
    <pivotField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dataField="1" showAll="0"/>
    <pivotField axis="axisRow" showAll="0">
      <items count="4">
        <item x="2"/>
        <item x="1"/>
        <item x="0"/>
        <item t="default"/>
      </items>
    </pivotField>
  </pivotFields>
  <rowFields count="1">
    <field x="8"/>
  </rowFields>
  <rowItems count="3">
    <i>
      <x/>
    </i>
    <i>
      <x v="1"/>
    </i>
    <i>
      <x v="2"/>
    </i>
  </rowItems>
  <colItems count="1">
    <i/>
  </colItems>
  <dataFields count="1">
    <dataField name="Count of CITY CODE " fld="7" subtotal="count" baseField="8" baseItem="0"/>
  </dataFields>
  <formats count="10">
    <format dxfId="1427">
      <pivotArea type="all" dataOnly="0" outline="0" fieldPosition="0"/>
    </format>
    <format dxfId="1426">
      <pivotArea outline="0" collapsedLevelsAreSubtotals="1" fieldPosition="0"/>
    </format>
    <format dxfId="1425">
      <pivotArea field="8" type="button" dataOnly="0" labelOnly="1" outline="0" axis="axisRow" fieldPosition="0"/>
    </format>
    <format dxfId="1424">
      <pivotArea dataOnly="0" labelOnly="1" fieldPosition="0">
        <references count="1">
          <reference field="8" count="0"/>
        </references>
      </pivotArea>
    </format>
    <format dxfId="1423">
      <pivotArea dataOnly="0" labelOnly="1" outline="0" axis="axisValues" fieldPosition="0"/>
    </format>
    <format dxfId="34">
      <pivotArea type="all" dataOnly="0" outline="0" fieldPosition="0"/>
    </format>
    <format dxfId="33">
      <pivotArea outline="0" collapsedLevelsAreSubtotals="1" fieldPosition="0"/>
    </format>
    <format dxfId="32">
      <pivotArea field="8" type="button" dataOnly="0" labelOnly="1" outline="0" axis="axisRow" fieldPosition="0"/>
    </format>
    <format dxfId="31">
      <pivotArea dataOnly="0" labelOnly="1" fieldPosition="0">
        <references count="1">
          <reference field="8" count="0"/>
        </references>
      </pivotArea>
    </format>
    <format dxfId="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1874075-DB82-4EA9-BBD2-C4ACA8B57FD2}" name="PivotTable13"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EMP Names">
  <location ref="W26:X29" firstHeaderRow="1" firstDataRow="1" firstDataCol="1"/>
  <pivotFields count="9">
    <pivotField showAll="0"/>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numFmtId="165" showAll="0"/>
    <pivotField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axis="axisRow" dataField="1" showAll="0">
      <items count="4">
        <item x="2"/>
        <item x="1"/>
        <item x="0"/>
        <item t="default"/>
      </items>
    </pivotField>
  </pivotFields>
  <rowFields count="1">
    <field x="8"/>
  </rowFields>
  <rowItems count="3">
    <i>
      <x/>
    </i>
    <i>
      <x v="1"/>
    </i>
    <i>
      <x v="2"/>
    </i>
  </rowItems>
  <colItems count="1">
    <i/>
  </colItems>
  <dataFields count="1">
    <dataField name="Count of CITY" fld="8" subtotal="count" baseField="0" baseItem="0"/>
  </dataFields>
  <formats count="10">
    <format dxfId="1432">
      <pivotArea type="all" dataOnly="0" outline="0" fieldPosition="0"/>
    </format>
    <format dxfId="1431">
      <pivotArea outline="0" collapsedLevelsAreSubtotals="1" fieldPosition="0"/>
    </format>
    <format dxfId="1430">
      <pivotArea field="8" type="button" dataOnly="0" labelOnly="1" outline="0" axis="axisRow" fieldPosition="0"/>
    </format>
    <format dxfId="1429">
      <pivotArea dataOnly="0" labelOnly="1" fieldPosition="0">
        <references count="1">
          <reference field="8" count="0"/>
        </references>
      </pivotArea>
    </format>
    <format dxfId="1428">
      <pivotArea dataOnly="0" labelOnly="1" outline="0" axis="axisValues" fieldPosition="0"/>
    </format>
    <format dxfId="28">
      <pivotArea type="all" dataOnly="0" outline="0" fieldPosition="0"/>
    </format>
    <format dxfId="27">
      <pivotArea outline="0" collapsedLevelsAreSubtotals="1" fieldPosition="0"/>
    </format>
    <format dxfId="26">
      <pivotArea field="8" type="button" dataOnly="0" labelOnly="1" outline="0" axis="axisRow" fieldPosition="0"/>
    </format>
    <format dxfId="25">
      <pivotArea dataOnly="0" labelOnly="1" fieldPosition="0">
        <references count="1">
          <reference field="8" count="0"/>
        </references>
      </pivotArea>
    </format>
    <format dxfId="2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39307A9-73F9-44F5-854A-04D352268E91}" name="PivotTable6"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EMP Names">
  <location ref="W10:W11" firstHeaderRow="1" firstDataRow="1" firstDataCol="0"/>
  <pivotFields count="9">
    <pivotField showAll="0"/>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numFmtId="165" showAll="0"/>
    <pivotField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dataField="1"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Items count="1">
    <i/>
  </rowItems>
  <colItems count="1">
    <i/>
  </colItems>
  <dataFields count="1">
    <dataField name="Sum of Attended Calls" fld="5" baseField="0" baseItem="0"/>
  </dataFields>
  <formats count="6">
    <format dxfId="1435">
      <pivotArea type="all" dataOnly="0" outline="0" fieldPosition="0"/>
    </format>
    <format dxfId="1434">
      <pivotArea outline="0" collapsedLevelsAreSubtotals="1" fieldPosition="0"/>
    </format>
    <format dxfId="1433">
      <pivotArea dataOnly="0" labelOnly="1" outline="0" axis="axisValues" fieldPosition="0"/>
    </format>
    <format dxfId="22">
      <pivotArea type="all" dataOnly="0" outline="0" fieldPosition="0"/>
    </format>
    <format dxfId="21">
      <pivotArea outline="0" collapsedLevelsAreSubtotals="1" fieldPosition="0"/>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AF5F199-5DF9-4311-96D6-1F6006EDB535}" name="PivotTable3"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6" rowHeaderCaption="EMP Names">
  <location ref="G10:H14" firstHeaderRow="1" firstDataRow="1" firstDataCol="1"/>
  <pivotFields count="9">
    <pivotField showAll="0"/>
    <pivotField axis="axisRow" showAll="0" measureFilter="1">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numFmtId="165" showAll="0"/>
    <pivotField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dataField="1"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Fields count="1">
    <field x="1"/>
  </rowFields>
  <rowItems count="4">
    <i>
      <x v="15"/>
    </i>
    <i>
      <x v="109"/>
    </i>
    <i>
      <x v="126"/>
    </i>
    <i>
      <x v="140"/>
    </i>
  </rowItems>
  <colItems count="1">
    <i/>
  </colItems>
  <dataFields count="1">
    <dataField name="Total no. of Attended Calls " fld="5" baseField="0" baseItem="0"/>
  </dataFields>
  <formats count="4">
    <format dxfId="1439">
      <pivotArea outline="0" collapsedLevelsAreSubtotals="1" fieldPosition="0"/>
    </format>
    <format dxfId="1438">
      <pivotArea dataOnly="0" labelOnly="1" fieldPosition="0">
        <references count="1">
          <reference field="1" count="9">
            <x v="15"/>
            <x v="109"/>
            <x v="126"/>
            <x v="135"/>
            <x v="136"/>
            <x v="137"/>
            <x v="138"/>
            <x v="139"/>
            <x v="140"/>
          </reference>
        </references>
      </pivotArea>
    </format>
    <format dxfId="1437">
      <pivotArea outline="0" collapsedLevelsAreSubtotals="1" fieldPosition="0"/>
    </format>
    <format dxfId="1436">
      <pivotArea dataOnly="0" labelOnly="1" fieldPosition="0">
        <references count="1">
          <reference field="1" count="9">
            <x v="15"/>
            <x v="109"/>
            <x v="126"/>
            <x v="135"/>
            <x v="136"/>
            <x v="137"/>
            <x v="138"/>
            <x v="139"/>
            <x v="140"/>
          </reference>
        </references>
      </pivotArea>
    </format>
  </formats>
  <chartFormats count="6">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1" count="1" selected="0">
            <x v="15"/>
          </reference>
        </references>
      </pivotArea>
    </chartFormat>
    <chartFormat chart="8" format="2">
      <pivotArea type="data" outline="0" fieldPosition="0">
        <references count="2">
          <reference field="4294967294" count="1" selected="0">
            <x v="0"/>
          </reference>
          <reference field="1" count="1" selected="0">
            <x v="126"/>
          </reference>
        </references>
      </pivotArea>
    </chartFormat>
    <chartFormat chart="8" format="3">
      <pivotArea type="data" outline="0" fieldPosition="0">
        <references count="2">
          <reference field="4294967294" count="1" selected="0">
            <x v="0"/>
          </reference>
          <reference field="1" count="1" selected="0">
            <x v="109"/>
          </reference>
        </references>
      </pivotArea>
    </chartFormat>
    <chartFormat chart="8" format="3">
      <pivotArea type="data" outline="0" fieldPosition="0">
        <references count="2">
          <reference field="4294967294" count="1" selected="0">
            <x v="0"/>
          </reference>
          <reference field="1" count="1" selected="0">
            <x v="140"/>
          </reference>
        </references>
      </pivotArea>
    </chartFormat>
    <chartFormat chart="8" format="4">
      <pivotArea type="data" outline="0" fieldPosition="0">
        <references count="2">
          <reference field="4294967294" count="1" selected="0">
            <x v="0"/>
          </reference>
          <reference field="1" count="1" selected="0">
            <x v="139"/>
          </reference>
        </references>
      </pivotArea>
    </chartFormat>
  </chartFormats>
  <pivotTableStyleInfo name="PivotStyleLight16" showRowHeaders="1" showColHeaders="1" showRowStripes="0" showColStripes="0" showLastColumn="1"/>
  <filters count="1">
    <filter fld="1" type="count" evalOrder="-1" id="218"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0D0E8DE-B541-49F8-AB2E-D6428AF7FBD0}" name="PivotTable10"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EMP Names">
  <location ref="Y10:Y11" firstHeaderRow="1" firstDataRow="1" firstDataCol="0"/>
  <pivotFields count="9">
    <pivotField showAll="0"/>
    <pivotField dataField="1"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numFmtId="165" showAll="0"/>
    <pivotField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Items count="1">
    <i/>
  </rowItems>
  <colItems count="1">
    <i/>
  </colItems>
  <dataFields count="1">
    <dataField name="Count of EMP_Name" fld="1" subtotal="count" baseField="0" baseItem="0"/>
  </dataFields>
  <formats count="6">
    <format dxfId="1442">
      <pivotArea type="all" dataOnly="0" outline="0" fieldPosition="0"/>
    </format>
    <format dxfId="1441">
      <pivotArea outline="0" collapsedLevelsAreSubtotals="1" fieldPosition="0"/>
    </format>
    <format dxfId="1440">
      <pivotArea dataOnly="0" labelOnly="1" outline="0" axis="axisValues" fieldPosition="0"/>
    </format>
    <format dxfId="18">
      <pivotArea type="all" dataOnly="0" outline="0" fieldPosition="0"/>
    </format>
    <format dxfId="17">
      <pivotArea outline="0" collapsedLevelsAreSubtotals="1" fieldPosition="0"/>
    </format>
    <format dxfId="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0A7A920-3692-4BA8-9EDC-5EFEB91ECCB5}" name="PivotTable12" cacheId="6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EMP Names">
  <location ref="Y13:Y154" firstHeaderRow="1" firstDataRow="1" firstDataCol="1"/>
  <pivotFields count="9">
    <pivotField showAll="0"/>
    <pivotField axis="axisRow"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numFmtId="165" showAll="0"/>
    <pivotField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numFmtId="9"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Fields count="1">
    <field x="1"/>
  </rowFields>
  <rowItems count="1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rowItems>
  <colItems count="1">
    <i/>
  </colItems>
  <formats count="13">
    <format dxfId="1450">
      <pivotArea type="all" dataOnly="0" outline="0" fieldPosition="0"/>
    </format>
    <format dxfId="1449">
      <pivotArea field="1" type="button" dataOnly="0" labelOnly="1" outline="0" axis="axisRow" fieldPosition="0"/>
    </format>
    <format dxfId="1448">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447">
      <pivotArea dataOnly="0" labelOnly="1" fieldPosition="0">
        <references count="1">
          <reference field="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446">
      <pivotArea dataOnly="0" labelOnly="1" fieldPosition="0">
        <references count="1">
          <reference field="1" count="41">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reference>
        </references>
      </pivotArea>
    </format>
    <format dxfId="1445">
      <pivotArea dataOnly="0" labelOnly="1" fieldPosition="0">
        <references count="1">
          <reference field="1" count="50">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reference>
        </references>
      </pivotArea>
    </format>
    <format dxfId="1444">
      <pivotArea dataOnly="0" labelOnly="1" fieldPosition="0">
        <references count="1">
          <reference field="1" count="50">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reference>
        </references>
      </pivotArea>
    </format>
    <format dxfId="1443">
      <pivotArea dataOnly="0" labelOnly="1" fieldPosition="0">
        <references count="1">
          <reference field="1" count="4">
            <x v="137"/>
            <x v="138"/>
            <x v="139"/>
            <x v="140"/>
          </reference>
        </references>
      </pivotArea>
    </format>
    <format dxfId="14">
      <pivotArea type="all" dataOnly="0" outline="0" fieldPosition="0"/>
    </format>
    <format dxfId="13">
      <pivotArea field="1" type="button" dataOnly="0" labelOnly="1" outline="0" axis="axisRow" fieldPosition="0"/>
    </format>
    <format dxfId="12">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1">
      <pivotArea dataOnly="0" labelOnly="1" fieldPosition="0">
        <references count="1">
          <reference field="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0">
      <pivotArea dataOnly="0" labelOnly="1" fieldPosition="0">
        <references count="1">
          <reference field="1" count="41">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C29D4C9-0E2C-487A-9B4B-69175DEB81B9}"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13:L14" firstHeaderRow="0" firstDataRow="1" firstDataCol="0"/>
  <pivotFields count="2">
    <pivotField dataField="1" showAll="0"/>
    <pivotField dataField="1" showAll="0"/>
  </pivotFields>
  <rowItems count="1">
    <i/>
  </rowItems>
  <colFields count="1">
    <field x="-2"/>
  </colFields>
  <colItems count="2">
    <i>
      <x/>
    </i>
    <i i="1">
      <x v="1"/>
    </i>
  </colItems>
  <dataFields count="2">
    <dataField name="Sum of  TOTAL CALL TARGET" fld="0" baseField="0" baseItem="0"/>
    <dataField name="Sum of ACTUAL CALL" fld="1" baseField="0" baseItem="0"/>
  </dataFields>
  <formats count="3">
    <format dxfId="9">
      <pivotArea type="all" dataOnly="0" outline="0" fieldPosition="0"/>
    </format>
    <format dxfId="8">
      <pivotArea outline="0" collapsedLevelsAreSubtotals="1" fieldPosition="0"/>
    </format>
    <format dxfId="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93511DC-D969-4EA0-9A81-DB638D5E7A17}" name="PivotTable1" cacheId="6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4:E145" firstHeaderRow="0" firstDataRow="1" firstDataCol="1"/>
  <pivotFields count="9">
    <pivotField showAll="0"/>
    <pivotField axis="axisRow"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showAll="0"/>
    <pivotField dataField="1" showAll="0">
      <items count="148">
        <item x="92"/>
        <item x="87"/>
        <item x="93"/>
        <item x="95"/>
        <item x="102"/>
        <item x="129"/>
        <item x="140"/>
        <item x="99"/>
        <item x="126"/>
        <item x="76"/>
        <item x="135"/>
        <item x="131"/>
        <item x="138"/>
        <item x="75"/>
        <item x="145"/>
        <item x="57"/>
        <item x="48"/>
        <item x="63"/>
        <item x="4"/>
        <item x="41"/>
        <item x="90"/>
        <item x="118"/>
        <item x="119"/>
        <item x="143"/>
        <item x="59"/>
        <item x="79"/>
        <item x="121"/>
        <item x="5"/>
        <item x="123"/>
        <item x="11"/>
        <item x="62"/>
        <item x="40"/>
        <item x="61"/>
        <item x="86"/>
        <item x="71"/>
        <item x="72"/>
        <item x="132"/>
        <item x="34"/>
        <item x="58"/>
        <item x="104"/>
        <item x="78"/>
        <item x="21"/>
        <item x="15"/>
        <item x="128"/>
        <item x="27"/>
        <item x="124"/>
        <item x="6"/>
        <item x="44"/>
        <item x="22"/>
        <item x="60"/>
        <item x="96"/>
        <item x="3"/>
        <item x="100"/>
        <item x="17"/>
        <item x="101"/>
        <item x="53"/>
        <item x="70"/>
        <item x="73"/>
        <item x="84"/>
        <item x="54"/>
        <item x="55"/>
        <item x="116"/>
        <item x="133"/>
        <item x="33"/>
        <item x="115"/>
        <item x="28"/>
        <item x="130"/>
        <item x="66"/>
        <item x="136"/>
        <item x="108"/>
        <item x="146"/>
        <item x="98"/>
        <item x="49"/>
        <item x="13"/>
        <item x="47"/>
        <item x="64"/>
        <item x="12"/>
        <item x="16"/>
        <item x="67"/>
        <item x="114"/>
        <item x="91"/>
        <item x="69"/>
        <item x="46"/>
        <item x="50"/>
        <item x="97"/>
        <item x="2"/>
        <item x="89"/>
        <item x="137"/>
        <item x="51"/>
        <item x="35"/>
        <item x="117"/>
        <item x="141"/>
        <item x="106"/>
        <item x="103"/>
        <item x="8"/>
        <item x="94"/>
        <item x="19"/>
        <item x="65"/>
        <item x="125"/>
        <item x="10"/>
        <item x="36"/>
        <item x="25"/>
        <item x="37"/>
        <item x="14"/>
        <item x="0"/>
        <item x="9"/>
        <item x="85"/>
        <item x="18"/>
        <item x="39"/>
        <item x="1"/>
        <item x="68"/>
        <item x="31"/>
        <item x="20"/>
        <item x="109"/>
        <item x="107"/>
        <item x="32"/>
        <item x="112"/>
        <item x="82"/>
        <item x="52"/>
        <item x="56"/>
        <item x="30"/>
        <item x="24"/>
        <item x="83"/>
        <item x="110"/>
        <item x="26"/>
        <item x="127"/>
        <item x="81"/>
        <item x="45"/>
        <item x="113"/>
        <item x="122"/>
        <item x="77"/>
        <item x="74"/>
        <item x="88"/>
        <item x="29"/>
        <item x="144"/>
        <item x="142"/>
        <item x="80"/>
        <item x="42"/>
        <item x="120"/>
        <item x="134"/>
        <item x="111"/>
        <item x="139"/>
        <item x="38"/>
        <item x="43"/>
        <item x="23"/>
        <item x="105"/>
        <item x="7"/>
        <item t="default"/>
      </items>
    </pivotField>
    <pivotField dataField="1" showAll="0">
      <items count="139">
        <item x="41"/>
        <item x="137"/>
        <item x="58"/>
        <item x="47"/>
        <item x="87"/>
        <item x="5"/>
        <item x="62"/>
        <item x="78"/>
        <item x="25"/>
        <item x="100"/>
        <item x="115"/>
        <item x="134"/>
        <item x="43"/>
        <item x="16"/>
        <item x="8"/>
        <item x="20"/>
        <item x="39"/>
        <item x="128"/>
        <item x="80"/>
        <item x="64"/>
        <item x="77"/>
        <item x="102"/>
        <item x="0"/>
        <item x="79"/>
        <item x="112"/>
        <item x="31"/>
        <item x="10"/>
        <item x="101"/>
        <item x="45"/>
        <item x="35"/>
        <item x="104"/>
        <item x="42"/>
        <item x="21"/>
        <item x="107"/>
        <item x="121"/>
        <item x="53"/>
        <item x="32"/>
        <item x="9"/>
        <item x="1"/>
        <item x="27"/>
        <item x="49"/>
        <item x="17"/>
        <item x="50"/>
        <item x="46"/>
        <item x="38"/>
        <item x="105"/>
        <item x="131"/>
        <item x="74"/>
        <item x="37"/>
        <item x="13"/>
        <item x="51"/>
        <item x="36"/>
        <item x="52"/>
        <item x="108"/>
        <item x="93"/>
        <item x="55"/>
        <item x="26"/>
        <item x="109"/>
        <item x="85"/>
        <item x="136"/>
        <item x="24"/>
        <item x="7"/>
        <item x="97"/>
        <item x="90"/>
        <item x="2"/>
        <item x="106"/>
        <item x="63"/>
        <item x="124"/>
        <item x="19"/>
        <item x="48"/>
        <item x="54"/>
        <item x="14"/>
        <item x="82"/>
        <item x="119"/>
        <item x="29"/>
        <item x="33"/>
        <item x="110"/>
        <item x="67"/>
        <item x="95"/>
        <item x="81"/>
        <item x="66"/>
        <item x="71"/>
        <item x="116"/>
        <item x="111"/>
        <item x="94"/>
        <item x="70"/>
        <item x="122"/>
        <item x="103"/>
        <item x="92"/>
        <item x="86"/>
        <item x="12"/>
        <item x="127"/>
        <item x="30"/>
        <item x="99"/>
        <item x="22"/>
        <item x="44"/>
        <item x="23"/>
        <item x="68"/>
        <item x="57"/>
        <item x="59"/>
        <item x="65"/>
        <item x="126"/>
        <item x="130"/>
        <item x="118"/>
        <item x="3"/>
        <item x="15"/>
        <item x="61"/>
        <item x="40"/>
        <item x="69"/>
        <item x="83"/>
        <item x="34"/>
        <item x="75"/>
        <item x="60"/>
        <item x="18"/>
        <item x="6"/>
        <item x="28"/>
        <item x="11"/>
        <item x="4"/>
        <item x="114"/>
        <item x="76"/>
        <item x="117"/>
        <item x="56"/>
        <item x="113"/>
        <item x="129"/>
        <item x="125"/>
        <item x="135"/>
        <item x="72"/>
        <item x="73"/>
        <item x="132"/>
        <item x="120"/>
        <item x="123"/>
        <item x="133"/>
        <item x="96"/>
        <item x="91"/>
        <item x="89"/>
        <item x="84"/>
        <item x="88"/>
        <item x="98"/>
        <item t="default"/>
      </items>
    </pivotField>
    <pivotField dataField="1" showAll="0">
      <items count="83">
        <item x="1"/>
        <item x="6"/>
        <item x="2"/>
        <item x="3"/>
        <item x="64"/>
        <item x="63"/>
        <item x="62"/>
        <item x="61"/>
        <item x="60"/>
        <item x="59"/>
        <item x="58"/>
        <item x="57"/>
        <item x="56"/>
        <item x="55"/>
        <item x="54"/>
        <item x="53"/>
        <item x="52"/>
        <item x="51"/>
        <item x="50"/>
        <item x="49"/>
        <item x="48"/>
        <item x="47"/>
        <item x="46"/>
        <item x="45"/>
        <item x="44"/>
        <item x="43"/>
        <item x="42"/>
        <item x="41"/>
        <item x="9"/>
        <item x="40"/>
        <item x="39"/>
        <item x="38"/>
        <item x="37"/>
        <item x="36"/>
        <item x="35"/>
        <item x="34"/>
        <item x="33"/>
        <item x="32"/>
        <item x="31"/>
        <item x="11"/>
        <item x="30"/>
        <item x="29"/>
        <item x="28"/>
        <item x="27"/>
        <item x="26"/>
        <item x="25"/>
        <item x="24"/>
        <item x="23"/>
        <item x="22"/>
        <item x="21"/>
        <item x="20"/>
        <item x="19"/>
        <item x="18"/>
        <item x="17"/>
        <item x="16"/>
        <item x="15"/>
        <item x="14"/>
        <item x="13"/>
        <item x="65"/>
        <item x="12"/>
        <item x="66"/>
        <item x="10"/>
        <item x="67"/>
        <item x="8"/>
        <item x="7"/>
        <item x="68"/>
        <item x="5"/>
        <item x="4"/>
        <item x="69"/>
        <item x="70"/>
        <item x="71"/>
        <item x="72"/>
        <item x="0"/>
        <item x="73"/>
        <item x="74"/>
        <item x="75"/>
        <item x="76"/>
        <item x="77"/>
        <item x="78"/>
        <item x="79"/>
        <item x="80"/>
        <item x="81"/>
        <item t="default"/>
      </items>
    </pivotField>
    <pivotField dataField="1" showAll="0">
      <items count="149">
        <item x="93"/>
        <item x="88"/>
        <item x="94"/>
        <item x="96"/>
        <item x="103"/>
        <item x="122"/>
        <item x="130"/>
        <item x="139"/>
        <item x="77"/>
        <item x="141"/>
        <item x="127"/>
        <item x="132"/>
        <item x="136"/>
        <item x="76"/>
        <item x="58"/>
        <item x="144"/>
        <item x="119"/>
        <item x="80"/>
        <item x="120"/>
        <item x="124"/>
        <item x="100"/>
        <item x="11"/>
        <item x="87"/>
        <item x="4"/>
        <item x="28"/>
        <item x="62"/>
        <item x="125"/>
        <item x="63"/>
        <item x="129"/>
        <item x="67"/>
        <item x="79"/>
        <item x="22"/>
        <item x="41"/>
        <item x="73"/>
        <item x="18"/>
        <item x="117"/>
        <item x="97"/>
        <item x="133"/>
        <item x="71"/>
        <item x="61"/>
        <item x="72"/>
        <item x="35"/>
        <item x="105"/>
        <item x="3"/>
        <item x="23"/>
        <item x="59"/>
        <item x="15"/>
        <item x="39"/>
        <item x="109"/>
        <item x="6"/>
        <item x="137"/>
        <item x="31"/>
        <item x="147"/>
        <item x="12"/>
        <item x="45"/>
        <item x="101"/>
        <item x="14"/>
        <item x="134"/>
        <item x="85"/>
        <item x="90"/>
        <item x="27"/>
        <item x="74"/>
        <item x="13"/>
        <item x="2"/>
        <item x="65"/>
        <item x="102"/>
        <item x="138"/>
        <item x="75"/>
        <item x="37"/>
        <item x="54"/>
        <item x="29"/>
        <item x="52"/>
        <item x="56"/>
        <item x="116"/>
        <item x="55"/>
        <item x="99"/>
        <item x="68"/>
        <item x="98"/>
        <item x="121"/>
        <item x="92"/>
        <item x="118"/>
        <item x="53"/>
        <item x="115"/>
        <item x="81"/>
        <item x="143"/>
        <item x="26"/>
        <item x="7"/>
        <item x="8"/>
        <item x="48"/>
        <item x="95"/>
        <item x="46"/>
        <item x="107"/>
        <item x="83"/>
        <item x="110"/>
        <item x="47"/>
        <item x="104"/>
        <item x="50"/>
        <item x="66"/>
        <item x="126"/>
        <item x="78"/>
        <item x="36"/>
        <item x="0"/>
        <item x="34"/>
        <item x="131"/>
        <item x="51"/>
        <item x="69"/>
        <item x="86"/>
        <item x="10"/>
        <item x="108"/>
        <item x="123"/>
        <item x="32"/>
        <item x="142"/>
        <item x="17"/>
        <item x="30"/>
        <item x="38"/>
        <item x="145"/>
        <item x="70"/>
        <item x="9"/>
        <item x="40"/>
        <item x="43"/>
        <item x="16"/>
        <item x="128"/>
        <item x="19"/>
        <item x="33"/>
        <item x="20"/>
        <item x="1"/>
        <item x="112"/>
        <item x="140"/>
        <item x="114"/>
        <item x="111"/>
        <item x="49"/>
        <item x="21"/>
        <item x="135"/>
        <item x="57"/>
        <item x="113"/>
        <item x="24"/>
        <item x="146"/>
        <item x="89"/>
        <item x="84"/>
        <item x="64"/>
        <item x="82"/>
        <item x="106"/>
        <item x="91"/>
        <item x="60"/>
        <item x="42"/>
        <item x="44"/>
        <item x="25"/>
        <item x="5"/>
        <item t="default"/>
      </items>
    </pivotField>
    <pivotField showAll="0"/>
    <pivotField showAll="0">
      <items count="4">
        <item x="2"/>
        <item x="1"/>
        <item x="0"/>
        <item t="default"/>
      </items>
    </pivotField>
  </pivotFields>
  <rowFields count="1">
    <field x="1"/>
  </rowFields>
  <rowItems count="1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rowItems>
  <colFields count="1">
    <field x="-2"/>
  </colFields>
  <colItems count="4">
    <i>
      <x/>
    </i>
    <i i="1">
      <x v="1"/>
    </i>
    <i i="2">
      <x v="2"/>
    </i>
    <i i="3">
      <x v="3"/>
    </i>
  </colItems>
  <dataFields count="4">
    <dataField name="Sum of Attended Calls" fld="5" baseField="0" baseItem="0"/>
    <dataField name="Sum of Work Efficiency " fld="3" baseField="1" baseItem="0" numFmtId="165"/>
    <dataField name="Average of Active With Cust." fld="6" subtotal="average" baseField="1" baseItem="0" numFmtId="9"/>
    <dataField name="Sum of Total Break Taken" fld="4" baseField="1" baseItem="4" numFmtId="165"/>
  </dataFields>
  <formats count="12">
    <format dxfId="1378">
      <pivotArea outline="0" collapsedLevelsAreSubtotals="1" fieldPosition="0">
        <references count="1">
          <reference field="4294967294" count="1" selected="0">
            <x v="1"/>
          </reference>
        </references>
      </pivotArea>
    </format>
    <format dxfId="1377">
      <pivotArea dataOnly="0" labelOnly="1" outline="0" fieldPosition="0">
        <references count="1">
          <reference field="4294967294" count="1">
            <x v="1"/>
          </reference>
        </references>
      </pivotArea>
    </format>
    <format dxfId="1376">
      <pivotArea outline="0" fieldPosition="0">
        <references count="1">
          <reference field="4294967294" count="1">
            <x v="3"/>
          </reference>
        </references>
      </pivotArea>
    </format>
    <format dxfId="1375">
      <pivotArea outline="0" collapsedLevelsAreSubtotals="1" fieldPosition="0">
        <references count="1">
          <reference field="4294967294" count="1" selected="0">
            <x v="2"/>
          </reference>
        </references>
      </pivotArea>
    </format>
    <format dxfId="1374">
      <pivotArea dataOnly="0" labelOnly="1" outline="0" fieldPosition="0">
        <references count="1">
          <reference field="4294967294" count="1">
            <x v="2"/>
          </reference>
        </references>
      </pivotArea>
    </format>
    <format dxfId="6">
      <pivotArea type="all" dataOnly="0" outline="0" fieldPosition="0"/>
    </format>
    <format dxfId="5">
      <pivotArea outline="0" collapsedLevelsAreSubtotals="1" fieldPosition="0"/>
    </format>
    <format dxfId="4">
      <pivotArea field="1" type="button" dataOnly="0" labelOnly="1" outline="0" axis="axisRow" fieldPosition="0"/>
    </format>
    <format dxfId="3">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
      <pivotArea dataOnly="0" labelOnly="1" fieldPosition="0">
        <references count="1">
          <reference field="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
      <pivotArea dataOnly="0" labelOnly="1" fieldPosition="0">
        <references count="1">
          <reference field="1" count="41">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reference>
        </references>
      </pivotArea>
    </format>
    <format dxfId="0">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_Efficiency1" xr10:uid="{84DA6C99-9F52-4A1D-840C-C979149E1D23}" sourceName="Work Efficiency ">
  <pivotTables>
    <pivotTable tabId="7" name="PivotTable4"/>
    <pivotTable tabId="7" name="PivotTable1"/>
    <pivotTable tabId="7" name="PivotTable2"/>
    <pivotTable tabId="7" name="PivotTable3"/>
    <pivotTable tabId="7" name="PivotTable10"/>
    <pivotTable tabId="7" name="PivotTable11"/>
    <pivotTable tabId="7" name="PivotTable12"/>
    <pivotTable tabId="7" name="PivotTable14"/>
    <pivotTable tabId="7" name="PivotTable15"/>
    <pivotTable tabId="7" name="PivotTable5"/>
    <pivotTable tabId="7" name="PivotTable6"/>
    <pivotTable tabId="7" name="PivotTable7"/>
    <pivotTable tabId="7" name="PivotTable8"/>
    <pivotTable tabId="7" name="PivotTable9"/>
    <pivotTable tabId="16" name="PivotTable1"/>
    <pivotTable tabId="7" name="PivotTable13"/>
  </pivotTables>
  <data>
    <tabular pivotCacheId="903788005">
      <items count="147">
        <i x="92" s="1"/>
        <i x="87" s="1"/>
        <i x="93" s="1"/>
        <i x="95" s="1"/>
        <i x="102" s="1"/>
        <i x="129" s="1"/>
        <i x="140" s="1"/>
        <i x="99" s="1"/>
        <i x="126" s="1"/>
        <i x="76" s="1"/>
        <i x="135" s="1"/>
        <i x="131" s="1"/>
        <i x="138" s="1"/>
        <i x="75" s="1"/>
        <i x="145" s="1"/>
        <i x="57" s="1"/>
        <i x="48" s="1"/>
        <i x="63" s="1"/>
        <i x="4" s="1"/>
        <i x="41" s="1"/>
        <i x="90" s="1"/>
        <i x="118" s="1"/>
        <i x="119" s="1"/>
        <i x="143" s="1"/>
        <i x="59" s="1"/>
        <i x="79" s="1"/>
        <i x="121" s="1"/>
        <i x="5" s="1"/>
        <i x="123" s="1"/>
        <i x="11" s="1"/>
        <i x="62" s="1"/>
        <i x="40" s="1"/>
        <i x="61" s="1"/>
        <i x="86" s="1"/>
        <i x="71" s="1"/>
        <i x="72" s="1"/>
        <i x="132" s="1"/>
        <i x="34" s="1"/>
        <i x="58" s="1"/>
        <i x="104" s="1"/>
        <i x="78" s="1"/>
        <i x="21" s="1"/>
        <i x="15" s="1"/>
        <i x="128" s="1"/>
        <i x="27" s="1"/>
        <i x="124" s="1"/>
        <i x="6" s="1"/>
        <i x="44" s="1"/>
        <i x="22" s="1"/>
        <i x="60" s="1"/>
        <i x="96" s="1"/>
        <i x="3" s="1"/>
        <i x="100" s="1"/>
        <i x="17" s="1"/>
        <i x="101" s="1"/>
        <i x="53" s="1"/>
        <i x="70" s="1"/>
        <i x="73" s="1"/>
        <i x="84" s="1"/>
        <i x="54" s="1"/>
        <i x="55" s="1"/>
        <i x="116" s="1"/>
        <i x="133" s="1"/>
        <i x="33" s="1"/>
        <i x="115" s="1"/>
        <i x="28" s="1"/>
        <i x="130" s="1"/>
        <i x="66" s="1"/>
        <i x="136" s="1"/>
        <i x="108" s="1"/>
        <i x="146" s="1"/>
        <i x="98" s="1"/>
        <i x="49" s="1"/>
        <i x="13" s="1"/>
        <i x="47" s="1"/>
        <i x="64" s="1"/>
        <i x="12" s="1"/>
        <i x="16" s="1"/>
        <i x="67" s="1"/>
        <i x="114" s="1"/>
        <i x="91" s="1"/>
        <i x="69" s="1"/>
        <i x="46" s="1"/>
        <i x="50" s="1"/>
        <i x="97" s="1"/>
        <i x="2" s="1"/>
        <i x="89" s="1"/>
        <i x="137" s="1"/>
        <i x="51" s="1"/>
        <i x="35" s="1"/>
        <i x="117" s="1"/>
        <i x="141" s="1"/>
        <i x="106" s="1"/>
        <i x="103" s="1"/>
        <i x="8" s="1"/>
        <i x="94" s="1"/>
        <i x="19" s="1"/>
        <i x="65" s="1"/>
        <i x="125" s="1"/>
        <i x="10" s="1"/>
        <i x="36" s="1"/>
        <i x="25" s="1"/>
        <i x="37" s="1"/>
        <i x="14" s="1"/>
        <i x="0" s="1"/>
        <i x="9" s="1"/>
        <i x="85" s="1"/>
        <i x="18" s="1"/>
        <i x="39" s="1"/>
        <i x="1" s="1"/>
        <i x="68" s="1"/>
        <i x="31" s="1"/>
        <i x="20" s="1"/>
        <i x="109" s="1"/>
        <i x="107" s="1"/>
        <i x="32" s="1"/>
        <i x="112" s="1"/>
        <i x="82" s="1"/>
        <i x="52" s="1"/>
        <i x="56" s="1"/>
        <i x="30" s="1"/>
        <i x="24" s="1"/>
        <i x="83" s="1"/>
        <i x="110" s="1"/>
        <i x="26" s="1"/>
        <i x="127" s="1"/>
        <i x="81" s="1"/>
        <i x="45" s="1"/>
        <i x="113" s="1"/>
        <i x="122" s="1"/>
        <i x="77" s="1"/>
        <i x="74" s="1"/>
        <i x="88" s="1"/>
        <i x="29" s="1"/>
        <i x="144" s="1"/>
        <i x="142" s="1"/>
        <i x="80" s="1"/>
        <i x="42" s="1"/>
        <i x="120" s="1"/>
        <i x="134" s="1"/>
        <i x="111" s="1"/>
        <i x="139" s="1"/>
        <i x="38" s="1"/>
        <i x="43" s="1"/>
        <i x="23" s="1"/>
        <i x="105"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ended_Calls1" xr10:uid="{25467178-1A92-42BC-B7CB-CBD4E9AB3D7E}" sourceName="Attended Calls">
  <pivotTables>
    <pivotTable tabId="7" name="PivotTable1"/>
    <pivotTable tabId="7" name="PivotTable2"/>
    <pivotTable tabId="7" name="PivotTable3"/>
    <pivotTable tabId="7" name="PivotTable4"/>
    <pivotTable tabId="7" name="PivotTable10"/>
    <pivotTable tabId="7" name="PivotTable11"/>
    <pivotTable tabId="7" name="PivotTable12"/>
    <pivotTable tabId="7" name="PivotTable14"/>
    <pivotTable tabId="7" name="PivotTable15"/>
    <pivotTable tabId="7" name="PivotTable5"/>
    <pivotTable tabId="7" name="PivotTable6"/>
    <pivotTable tabId="7" name="PivotTable7"/>
    <pivotTable tabId="7" name="PivotTable8"/>
    <pivotTable tabId="7" name="PivotTable9"/>
    <pivotTable tabId="16" name="PivotTable1"/>
    <pivotTable tabId="7" name="PivotTable13"/>
  </pivotTables>
  <data>
    <tabular pivotCacheId="903788005">
      <items count="82">
        <i x="1" s="1"/>
        <i x="6" s="1"/>
        <i x="2" s="1"/>
        <i x="3" s="1"/>
        <i x="64" s="1"/>
        <i x="63" s="1"/>
        <i x="62" s="1"/>
        <i x="61" s="1"/>
        <i x="60" s="1"/>
        <i x="59" s="1"/>
        <i x="58" s="1"/>
        <i x="57" s="1"/>
        <i x="56" s="1"/>
        <i x="55" s="1"/>
        <i x="54" s="1"/>
        <i x="53" s="1"/>
        <i x="52" s="1"/>
        <i x="51" s="1"/>
        <i x="50" s="1"/>
        <i x="49" s="1"/>
        <i x="48" s="1"/>
        <i x="47" s="1"/>
        <i x="46" s="1"/>
        <i x="45" s="1"/>
        <i x="44" s="1"/>
        <i x="43" s="1"/>
        <i x="42" s="1"/>
        <i x="41" s="1"/>
        <i x="9" s="1"/>
        <i x="40" s="1"/>
        <i x="39" s="1"/>
        <i x="38" s="1"/>
        <i x="37" s="1"/>
        <i x="36" s="1"/>
        <i x="35" s="1"/>
        <i x="34" s="1"/>
        <i x="33" s="1"/>
        <i x="32" s="1"/>
        <i x="31" s="1"/>
        <i x="11" s="1"/>
        <i x="30" s="1"/>
        <i x="29" s="1"/>
        <i x="28" s="1"/>
        <i x="27" s="1"/>
        <i x="26" s="1"/>
        <i x="25" s="1"/>
        <i x="24" s="1"/>
        <i x="23" s="1"/>
        <i x="22" s="1"/>
        <i x="21" s="1"/>
        <i x="20" s="1"/>
        <i x="19" s="1"/>
        <i x="18" s="1"/>
        <i x="17" s="1"/>
        <i x="16" s="1"/>
        <i x="15" s="1"/>
        <i x="14" s="1"/>
        <i x="13" s="1"/>
        <i x="65" s="1"/>
        <i x="12" s="1"/>
        <i x="66" s="1"/>
        <i x="10" s="1"/>
        <i x="67" s="1"/>
        <i x="8" s="1"/>
        <i x="7" s="1"/>
        <i x="68" s="1"/>
        <i x="5" s="1"/>
        <i x="4" s="1"/>
        <i x="69" s="1"/>
        <i x="70" s="1"/>
        <i x="71" s="1"/>
        <i x="72" s="1"/>
        <i x="0" s="1"/>
        <i x="73" s="1"/>
        <i x="74" s="1"/>
        <i x="75" s="1"/>
        <i x="76" s="1"/>
        <i x="77" s="1"/>
        <i x="78" s="1"/>
        <i x="79" s="1"/>
        <i x="80" s="1"/>
        <i x="8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_With_Cust.1" xr10:uid="{A605076B-9F9C-42D6-AC80-45E482F87C55}" sourceName="Active With Cust.">
  <pivotTables>
    <pivotTable tabId="7" name="PivotTable1"/>
    <pivotTable tabId="7" name="PivotTable2"/>
    <pivotTable tabId="7" name="PivotTable3"/>
    <pivotTable tabId="7" name="PivotTable4"/>
    <pivotTable tabId="7" name="PivotTable10"/>
    <pivotTable tabId="7" name="PivotTable11"/>
    <pivotTable tabId="7" name="PivotTable12"/>
    <pivotTable tabId="7" name="PivotTable14"/>
    <pivotTable tabId="7" name="PivotTable15"/>
    <pivotTable tabId="7" name="PivotTable5"/>
    <pivotTable tabId="7" name="PivotTable6"/>
    <pivotTable tabId="7" name="PivotTable7"/>
    <pivotTable tabId="7" name="PivotTable8"/>
    <pivotTable tabId="7" name="PivotTable9"/>
    <pivotTable tabId="16" name="PivotTable1"/>
    <pivotTable tabId="7" name="PivotTable13"/>
  </pivotTables>
  <data>
    <tabular pivotCacheId="903788005">
      <items count="148">
        <i x="93" s="1"/>
        <i x="88" s="1"/>
        <i x="94" s="1"/>
        <i x="96" s="1"/>
        <i x="103" s="1"/>
        <i x="122" s="1"/>
        <i x="130" s="1"/>
        <i x="139" s="1"/>
        <i x="77" s="1"/>
        <i x="141" s="1"/>
        <i x="127" s="1"/>
        <i x="132" s="1"/>
        <i x="136" s="1"/>
        <i x="76" s="1"/>
        <i x="58" s="1"/>
        <i x="144" s="1"/>
        <i x="119" s="1"/>
        <i x="80" s="1"/>
        <i x="120" s="1"/>
        <i x="124" s="1"/>
        <i x="100" s="1"/>
        <i x="11" s="1"/>
        <i x="87" s="1"/>
        <i x="4" s="1"/>
        <i x="28" s="1"/>
        <i x="62" s="1"/>
        <i x="125" s="1"/>
        <i x="63" s="1"/>
        <i x="129" s="1"/>
        <i x="67" s="1"/>
        <i x="79" s="1"/>
        <i x="22" s="1"/>
        <i x="41" s="1"/>
        <i x="73" s="1"/>
        <i x="18" s="1"/>
        <i x="117" s="1"/>
        <i x="97" s="1"/>
        <i x="133" s="1"/>
        <i x="71" s="1"/>
        <i x="61" s="1"/>
        <i x="72" s="1"/>
        <i x="35" s="1"/>
        <i x="105" s="1"/>
        <i x="3" s="1"/>
        <i x="23" s="1"/>
        <i x="59" s="1"/>
        <i x="15" s="1"/>
        <i x="39" s="1"/>
        <i x="109" s="1"/>
        <i x="6" s="1"/>
        <i x="137" s="1"/>
        <i x="31" s="1"/>
        <i x="147" s="1"/>
        <i x="12" s="1"/>
        <i x="45" s="1"/>
        <i x="101" s="1"/>
        <i x="14" s="1"/>
        <i x="134" s="1"/>
        <i x="85" s="1"/>
        <i x="90" s="1"/>
        <i x="27" s="1"/>
        <i x="74" s="1"/>
        <i x="13" s="1"/>
        <i x="2" s="1"/>
        <i x="65" s="1"/>
        <i x="102" s="1"/>
        <i x="138" s="1"/>
        <i x="75" s="1"/>
        <i x="37" s="1"/>
        <i x="54" s="1"/>
        <i x="29" s="1"/>
        <i x="52" s="1"/>
        <i x="56" s="1"/>
        <i x="116" s="1"/>
        <i x="55" s="1"/>
        <i x="99" s="1"/>
        <i x="68" s="1"/>
        <i x="98" s="1"/>
        <i x="121" s="1"/>
        <i x="92" s="1"/>
        <i x="118" s="1"/>
        <i x="53" s="1"/>
        <i x="115" s="1"/>
        <i x="81" s="1"/>
        <i x="143" s="1"/>
        <i x="26" s="1"/>
        <i x="7" s="1"/>
        <i x="8" s="1"/>
        <i x="48" s="1"/>
        <i x="95" s="1"/>
        <i x="46" s="1"/>
        <i x="107" s="1"/>
        <i x="83" s="1"/>
        <i x="110" s="1"/>
        <i x="47" s="1"/>
        <i x="104" s="1"/>
        <i x="50" s="1"/>
        <i x="66" s="1"/>
        <i x="126" s="1"/>
        <i x="78" s="1"/>
        <i x="36" s="1"/>
        <i x="0" s="1"/>
        <i x="34" s="1"/>
        <i x="131" s="1"/>
        <i x="51" s="1"/>
        <i x="69" s="1"/>
        <i x="86" s="1"/>
        <i x="10" s="1"/>
        <i x="108" s="1"/>
        <i x="123" s="1"/>
        <i x="32" s="1"/>
        <i x="142" s="1"/>
        <i x="17" s="1"/>
        <i x="30" s="1"/>
        <i x="38" s="1"/>
        <i x="145" s="1"/>
        <i x="70" s="1"/>
        <i x="9" s="1"/>
        <i x="40" s="1"/>
        <i x="43" s="1"/>
        <i x="16" s="1"/>
        <i x="128" s="1"/>
        <i x="19" s="1"/>
        <i x="33" s="1"/>
        <i x="20" s="1"/>
        <i x="1" s="1"/>
        <i x="112" s="1"/>
        <i x="140" s="1"/>
        <i x="114" s="1"/>
        <i x="111" s="1"/>
        <i x="49" s="1"/>
        <i x="21" s="1"/>
        <i x="135" s="1"/>
        <i x="57" s="1"/>
        <i x="113" s="1"/>
        <i x="24" s="1"/>
        <i x="146" s="1"/>
        <i x="89" s="1"/>
        <i x="84" s="1"/>
        <i x="64" s="1"/>
        <i x="82" s="1"/>
        <i x="106" s="1"/>
        <i x="91" s="1"/>
        <i x="60" s="1"/>
        <i x="42" s="1"/>
        <i x="44" s="1"/>
        <i x="25"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Break_Taken" xr10:uid="{7E439857-B679-4B1A-B70F-E613F7CCDA6C}" sourceName="Total Break Taken">
  <pivotTables>
    <pivotTable tabId="7" name="PivotTable1"/>
    <pivotTable tabId="7" name="PivotTable2"/>
    <pivotTable tabId="7" name="PivotTable3"/>
    <pivotTable tabId="7" name="PivotTable4"/>
    <pivotTable tabId="7" name="PivotTable10"/>
    <pivotTable tabId="7" name="PivotTable11"/>
    <pivotTable tabId="7" name="PivotTable12"/>
    <pivotTable tabId="7" name="PivotTable14"/>
    <pivotTable tabId="7" name="PivotTable15"/>
    <pivotTable tabId="7" name="PivotTable5"/>
    <pivotTable tabId="7" name="PivotTable6"/>
    <pivotTable tabId="7" name="PivotTable7"/>
    <pivotTable tabId="7" name="PivotTable8"/>
    <pivotTable tabId="7" name="PivotTable9"/>
    <pivotTable tabId="16" name="PivotTable1"/>
    <pivotTable tabId="7" name="PivotTable13"/>
  </pivotTables>
  <data>
    <tabular pivotCacheId="903788005">
      <items count="138">
        <i x="41" s="1"/>
        <i x="137" s="1"/>
        <i x="58" s="1"/>
        <i x="47" s="1"/>
        <i x="87" s="1"/>
        <i x="5" s="1"/>
        <i x="62" s="1"/>
        <i x="78" s="1"/>
        <i x="25" s="1"/>
        <i x="100" s="1"/>
        <i x="115" s="1"/>
        <i x="134" s="1"/>
        <i x="43" s="1"/>
        <i x="16" s="1"/>
        <i x="8" s="1"/>
        <i x="20" s="1"/>
        <i x="39" s="1"/>
        <i x="128" s="1"/>
        <i x="80" s="1"/>
        <i x="64" s="1"/>
        <i x="77" s="1"/>
        <i x="102" s="1"/>
        <i x="0" s="1"/>
        <i x="79" s="1"/>
        <i x="112" s="1"/>
        <i x="31" s="1"/>
        <i x="10" s="1"/>
        <i x="101" s="1"/>
        <i x="45" s="1"/>
        <i x="35" s="1"/>
        <i x="104" s="1"/>
        <i x="42" s="1"/>
        <i x="21" s="1"/>
        <i x="107" s="1"/>
        <i x="121" s="1"/>
        <i x="53" s="1"/>
        <i x="32" s="1"/>
        <i x="9" s="1"/>
        <i x="1" s="1"/>
        <i x="27" s="1"/>
        <i x="49" s="1"/>
        <i x="17" s="1"/>
        <i x="50" s="1"/>
        <i x="46" s="1"/>
        <i x="38" s="1"/>
        <i x="105" s="1"/>
        <i x="131" s="1"/>
        <i x="74" s="1"/>
        <i x="37" s="1"/>
        <i x="13" s="1"/>
        <i x="51" s="1"/>
        <i x="36" s="1"/>
        <i x="52" s="1"/>
        <i x="108" s="1"/>
        <i x="93" s="1"/>
        <i x="55" s="1"/>
        <i x="26" s="1"/>
        <i x="109" s="1"/>
        <i x="85" s="1"/>
        <i x="136" s="1"/>
        <i x="24" s="1"/>
        <i x="7" s="1"/>
        <i x="97" s="1"/>
        <i x="90" s="1"/>
        <i x="2" s="1"/>
        <i x="106" s="1"/>
        <i x="63" s="1"/>
        <i x="124" s="1"/>
        <i x="19" s="1"/>
        <i x="48" s="1"/>
        <i x="54" s="1"/>
        <i x="14" s="1"/>
        <i x="82" s="1"/>
        <i x="119" s="1"/>
        <i x="29" s="1"/>
        <i x="33" s="1"/>
        <i x="110" s="1"/>
        <i x="67" s="1"/>
        <i x="95" s="1"/>
        <i x="81" s="1"/>
        <i x="66" s="1"/>
        <i x="71" s="1"/>
        <i x="116" s="1"/>
        <i x="111" s="1"/>
        <i x="94" s="1"/>
        <i x="70" s="1"/>
        <i x="122" s="1"/>
        <i x="103" s="1"/>
        <i x="92" s="1"/>
        <i x="86" s="1"/>
        <i x="12" s="1"/>
        <i x="127" s="1"/>
        <i x="30" s="1"/>
        <i x="99" s="1"/>
        <i x="22" s="1"/>
        <i x="44" s="1"/>
        <i x="23" s="1"/>
        <i x="68" s="1"/>
        <i x="57" s="1"/>
        <i x="59" s="1"/>
        <i x="65" s="1"/>
        <i x="126" s="1"/>
        <i x="130" s="1"/>
        <i x="118" s="1"/>
        <i x="3" s="1"/>
        <i x="15" s="1"/>
        <i x="61" s="1"/>
        <i x="40" s="1"/>
        <i x="69" s="1"/>
        <i x="83" s="1"/>
        <i x="34" s="1"/>
        <i x="75" s="1"/>
        <i x="60" s="1"/>
        <i x="18" s="1"/>
        <i x="6" s="1"/>
        <i x="28" s="1"/>
        <i x="11" s="1"/>
        <i x="4" s="1"/>
        <i x="114" s="1"/>
        <i x="76" s="1"/>
        <i x="117" s="1"/>
        <i x="56" s="1"/>
        <i x="113" s="1"/>
        <i x="129" s="1"/>
        <i x="125" s="1"/>
        <i x="135" s="1"/>
        <i x="72" s="1"/>
        <i x="73" s="1"/>
        <i x="132" s="1"/>
        <i x="120" s="1"/>
        <i x="123" s="1"/>
        <i x="133" s="1"/>
        <i x="96" s="1"/>
        <i x="91" s="1"/>
        <i x="89" s="1"/>
        <i x="84" s="1"/>
        <i x="88" s="1"/>
        <i x="98"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_Name1" xr10:uid="{E7083E86-9D9C-4A31-9FD3-D75C4847691E}" sourceName="EMP_Name">
  <pivotTables>
    <pivotTable tabId="7" name="PivotTable4"/>
    <pivotTable tabId="7" name="PivotTable1"/>
    <pivotTable tabId="7" name="PivotTable10"/>
    <pivotTable tabId="7" name="PivotTable11"/>
    <pivotTable tabId="7" name="PivotTable12"/>
    <pivotTable tabId="7" name="PivotTable14"/>
    <pivotTable tabId="7" name="PivotTable15"/>
    <pivotTable tabId="7" name="PivotTable2"/>
    <pivotTable tabId="7" name="PivotTable3"/>
    <pivotTable tabId="7" name="PivotTable5"/>
    <pivotTable tabId="7" name="PivotTable6"/>
    <pivotTable tabId="7" name="PivotTable7"/>
    <pivotTable tabId="7" name="PivotTable8"/>
    <pivotTable tabId="7" name="PivotTable9"/>
    <pivotTable tabId="16" name="PivotTable1"/>
    <pivotTable tabId="7" name="PivotTable13"/>
  </pivotTables>
  <data>
    <tabular pivotCacheId="903788005">
      <items count="14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74E94ABD-FDA9-42DB-AB81-555BAA9B502B}" sourceName="CITY">
  <pivotTables>
    <pivotTable tabId="7" name="PivotTable3"/>
    <pivotTable tabId="7" name="PivotTable1"/>
    <pivotTable tabId="7" name="PivotTable10"/>
    <pivotTable tabId="7" name="PivotTable11"/>
    <pivotTable tabId="7" name="PivotTable12"/>
    <pivotTable tabId="7" name="PivotTable14"/>
    <pivotTable tabId="7" name="PivotTable15"/>
    <pivotTable tabId="7" name="PivotTable2"/>
    <pivotTable tabId="7" name="PivotTable4"/>
    <pivotTable tabId="7" name="PivotTable5"/>
    <pivotTable tabId="7" name="PivotTable6"/>
    <pivotTable tabId="7" name="PivotTable7"/>
    <pivotTable tabId="7" name="PivotTable8"/>
    <pivotTable tabId="7" name="PivotTable9"/>
    <pivotTable tabId="16" name="PivotTable1"/>
    <pivotTable tabId="7" name="PivotTable13"/>
  </pivotTables>
  <data>
    <tabular pivotCacheId="903788005">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ork Efficiency  1" xr10:uid="{A31BC7EC-1F95-4FFB-A396-D8CE1F5AB880}" cache="Slicer_Work_Efficiency1" caption="Work Efficiency " startItem="3" style="SlicerStyleLight6" rowHeight="234950"/>
  <slicer name="Attended Calls 1" xr10:uid="{749AF62B-9C79-4288-9933-EFEC2153694D}" cache="Slicer_Attended_Calls1" caption="Attended Calls" startItem="18" columnCount="2" style="SlicerStyleLight3" rowHeight="234950"/>
  <slicer name="Active With Cust. 1" xr10:uid="{E6492B16-1374-4C8A-B530-72DBFA39637B}" cache="Slicer_Active_With_Cust.1" caption="Active With Cust." startItem="78" style="SlicerStyleOther2" rowHeight="234950"/>
  <slicer name="Total Break Taken" xr10:uid="{54335458-4DA5-4393-AC7B-CA366ECC494E}" cache="Slicer_Total_Break_Taken" caption="Total Break Taken" style="SlicerStyleLight6" rowHeight="234950"/>
  <slicer name="EMP_Name 1" xr10:uid="{F9DB06AB-19DA-4ED9-81A2-12548F255443}" cache="Slicer_EMP_Name1" caption="EMP_Name" startItem="64" columnCount="2" style="SlicerStyleLight3" rowHeight="234950"/>
  <slicer name="CITY" xr10:uid="{286F1BAF-CADC-409C-B5F1-5505AB7B0B3F}" cache="Slicer_CITY" caption="CITY" style="SlicerStyleLight5"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vmlDrawing" Target="../drawings/vmlDrawing1.vml"/><Relationship Id="rId26" Type="http://schemas.openxmlformats.org/officeDocument/2006/relationships/ctrlProp" Target="../ctrlProps/ctrlProp8.xml"/><Relationship Id="rId3" Type="http://schemas.openxmlformats.org/officeDocument/2006/relationships/pivotTable" Target="../pivotTables/pivotTable3.xml"/><Relationship Id="rId21" Type="http://schemas.openxmlformats.org/officeDocument/2006/relationships/ctrlProp" Target="../ctrlProps/ctrlProp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1.xml"/><Relationship Id="rId25" Type="http://schemas.openxmlformats.org/officeDocument/2006/relationships/ctrlProp" Target="../ctrlProps/ctrlProp7.xml"/><Relationship Id="rId2" Type="http://schemas.openxmlformats.org/officeDocument/2006/relationships/pivotTable" Target="../pivotTables/pivotTable2.xml"/><Relationship Id="rId16" Type="http://schemas.openxmlformats.org/officeDocument/2006/relationships/printerSettings" Target="../printerSettings/printerSettings1.bin"/><Relationship Id="rId20" Type="http://schemas.openxmlformats.org/officeDocument/2006/relationships/ctrlProp" Target="../ctrlProps/ctrlProp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ctrlProp" Target="../ctrlProps/ctrlProp6.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ctrlProp" Target="../ctrlProps/ctrlProp5.xml"/><Relationship Id="rId10" Type="http://schemas.openxmlformats.org/officeDocument/2006/relationships/pivotTable" Target="../pivotTables/pivotTable10.xml"/><Relationship Id="rId19" Type="http://schemas.openxmlformats.org/officeDocument/2006/relationships/ctrlProp" Target="../ctrlProps/ctrlProp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ctrlProp" Target="../ctrlProps/ctrlProp4.xml"/><Relationship Id="rId27" Type="http://schemas.microsoft.com/office/2007/relationships/slicer" Target="../slicers/slicer1.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17.xml"/><Relationship Id="rId1"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7A217-1038-44B8-88EF-33E1FFFA69FD}">
  <sheetPr codeName="Sheet1"/>
  <dimension ref="A1:I150"/>
  <sheetViews>
    <sheetView workbookViewId="0">
      <selection activeCell="R6" sqref="R6"/>
    </sheetView>
  </sheetViews>
  <sheetFormatPr defaultRowHeight="14.4" x14ac:dyDescent="0.3"/>
  <cols>
    <col min="1" max="1" width="31.44140625" customWidth="1"/>
    <col min="2" max="2" width="8.33203125" customWidth="1"/>
    <col min="3" max="3" width="14" customWidth="1"/>
    <col min="4" max="4" width="10" customWidth="1"/>
    <col min="5" max="5" width="8.77734375" customWidth="1"/>
    <col min="6" max="6" width="8.6640625" customWidth="1"/>
    <col min="7" max="7" width="16.88671875" customWidth="1"/>
    <col min="8" max="8" width="11.88671875" customWidth="1"/>
    <col min="9" max="9" width="18.21875" customWidth="1"/>
  </cols>
  <sheetData>
    <row r="1" spans="1:9" x14ac:dyDescent="0.3">
      <c r="A1" s="1" t="s">
        <v>0</v>
      </c>
      <c r="B1" s="1" t="s">
        <v>1</v>
      </c>
      <c r="C1" s="1" t="s">
        <v>2</v>
      </c>
      <c r="D1" s="1" t="s">
        <v>3</v>
      </c>
      <c r="E1" s="1" t="s">
        <v>4</v>
      </c>
      <c r="F1" s="1" t="s">
        <v>5</v>
      </c>
      <c r="G1" s="1" t="s">
        <v>6</v>
      </c>
      <c r="H1" s="1" t="s">
        <v>7</v>
      </c>
      <c r="I1" s="1" t="s">
        <v>8</v>
      </c>
    </row>
    <row r="2" spans="1:9" x14ac:dyDescent="0.3">
      <c r="A2" s="2" t="s">
        <v>9</v>
      </c>
      <c r="B2" s="3" t="s">
        <v>10</v>
      </c>
      <c r="C2" s="3" t="s">
        <v>11</v>
      </c>
      <c r="D2" s="3" t="s">
        <v>12</v>
      </c>
      <c r="E2" s="3" t="s">
        <v>12</v>
      </c>
      <c r="F2" s="3" t="s">
        <v>12</v>
      </c>
      <c r="G2" s="3" t="s">
        <v>12</v>
      </c>
      <c r="H2" s="3" t="s">
        <v>12</v>
      </c>
      <c r="I2" s="3" t="s">
        <v>13</v>
      </c>
    </row>
    <row r="3" spans="1:9" x14ac:dyDescent="0.3">
      <c r="A3" s="2" t="s">
        <v>14</v>
      </c>
      <c r="B3" s="3" t="s">
        <v>15</v>
      </c>
      <c r="C3" s="3" t="s">
        <v>16</v>
      </c>
      <c r="D3" s="3" t="s">
        <v>12</v>
      </c>
      <c r="E3" s="3" t="s">
        <v>12</v>
      </c>
      <c r="F3" s="3" t="s">
        <v>12</v>
      </c>
      <c r="G3" s="3" t="s">
        <v>12</v>
      </c>
      <c r="H3" s="3" t="s">
        <v>12</v>
      </c>
      <c r="I3" s="3" t="s">
        <v>17</v>
      </c>
    </row>
    <row r="4" spans="1:9" x14ac:dyDescent="0.3">
      <c r="A4" s="2" t="s">
        <v>18</v>
      </c>
      <c r="B4" s="3" t="s">
        <v>19</v>
      </c>
      <c r="C4" s="3" t="s">
        <v>20</v>
      </c>
      <c r="D4" s="3" t="s">
        <v>12</v>
      </c>
      <c r="E4" s="3" t="s">
        <v>12</v>
      </c>
      <c r="F4" s="3" t="s">
        <v>12</v>
      </c>
      <c r="G4" s="3" t="s">
        <v>21</v>
      </c>
      <c r="H4" s="3" t="s">
        <v>12</v>
      </c>
      <c r="I4" s="3" t="s">
        <v>22</v>
      </c>
    </row>
    <row r="5" spans="1:9" x14ac:dyDescent="0.3">
      <c r="A5" s="2" t="s">
        <v>23</v>
      </c>
      <c r="B5" s="3" t="s">
        <v>24</v>
      </c>
      <c r="C5" s="3" t="s">
        <v>25</v>
      </c>
      <c r="D5" s="3" t="s">
        <v>26</v>
      </c>
      <c r="E5" s="3" t="s">
        <v>12</v>
      </c>
      <c r="F5" s="3" t="s">
        <v>12</v>
      </c>
      <c r="G5" s="3" t="s">
        <v>12</v>
      </c>
      <c r="H5" s="3" t="s">
        <v>12</v>
      </c>
      <c r="I5" s="3" t="s">
        <v>27</v>
      </c>
    </row>
    <row r="6" spans="1:9" x14ac:dyDescent="0.3">
      <c r="A6" s="2" t="s">
        <v>28</v>
      </c>
      <c r="B6" s="3" t="s">
        <v>12</v>
      </c>
      <c r="C6" s="3" t="s">
        <v>29</v>
      </c>
      <c r="D6" s="3" t="s">
        <v>12</v>
      </c>
      <c r="E6" s="3" t="s">
        <v>12</v>
      </c>
      <c r="F6" s="3" t="s">
        <v>30</v>
      </c>
      <c r="G6" s="3" t="s">
        <v>12</v>
      </c>
      <c r="H6" s="3" t="s">
        <v>31</v>
      </c>
      <c r="I6" s="3" t="s">
        <v>32</v>
      </c>
    </row>
    <row r="7" spans="1:9" x14ac:dyDescent="0.3">
      <c r="A7" s="2" t="s">
        <v>33</v>
      </c>
      <c r="B7" s="3" t="s">
        <v>12</v>
      </c>
      <c r="C7" s="3" t="s">
        <v>34</v>
      </c>
      <c r="D7" s="3" t="s">
        <v>12</v>
      </c>
      <c r="E7" s="3" t="s">
        <v>12</v>
      </c>
      <c r="F7" s="3" t="s">
        <v>12</v>
      </c>
      <c r="G7" s="3" t="s">
        <v>35</v>
      </c>
      <c r="H7" s="3" t="s">
        <v>12</v>
      </c>
      <c r="I7" s="3" t="s">
        <v>36</v>
      </c>
    </row>
    <row r="8" spans="1:9" x14ac:dyDescent="0.3">
      <c r="A8" s="2" t="s">
        <v>37</v>
      </c>
      <c r="B8" s="3" t="s">
        <v>38</v>
      </c>
      <c r="C8" s="3" t="s">
        <v>39</v>
      </c>
      <c r="D8" s="3" t="s">
        <v>12</v>
      </c>
      <c r="E8" s="3" t="s">
        <v>12</v>
      </c>
      <c r="F8" s="3" t="s">
        <v>12</v>
      </c>
      <c r="G8" s="3" t="s">
        <v>12</v>
      </c>
      <c r="H8" s="3" t="s">
        <v>40</v>
      </c>
      <c r="I8" s="3" t="s">
        <v>41</v>
      </c>
    </row>
    <row r="9" spans="1:9" x14ac:dyDescent="0.3">
      <c r="A9" s="2" t="s">
        <v>42</v>
      </c>
      <c r="B9" s="3" t="s">
        <v>43</v>
      </c>
      <c r="C9" s="3" t="s">
        <v>44</v>
      </c>
      <c r="D9" s="3" t="s">
        <v>12</v>
      </c>
      <c r="E9" s="3" t="s">
        <v>12</v>
      </c>
      <c r="F9" s="3" t="s">
        <v>12</v>
      </c>
      <c r="G9" s="3" t="s">
        <v>12</v>
      </c>
      <c r="H9" s="3" t="s">
        <v>12</v>
      </c>
      <c r="I9" s="3" t="s">
        <v>45</v>
      </c>
    </row>
    <row r="10" spans="1:9" x14ac:dyDescent="0.3">
      <c r="A10" s="2" t="s">
        <v>46</v>
      </c>
      <c r="B10" s="3" t="s">
        <v>47</v>
      </c>
      <c r="C10" s="3" t="s">
        <v>48</v>
      </c>
      <c r="D10" s="3" t="s">
        <v>12</v>
      </c>
      <c r="E10" s="3" t="s">
        <v>12</v>
      </c>
      <c r="F10" s="3" t="s">
        <v>12</v>
      </c>
      <c r="G10" s="3" t="s">
        <v>12</v>
      </c>
      <c r="H10" s="3" t="s">
        <v>12</v>
      </c>
      <c r="I10" s="3" t="s">
        <v>49</v>
      </c>
    </row>
    <row r="11" spans="1:9" x14ac:dyDescent="0.3">
      <c r="A11" s="2" t="s">
        <v>50</v>
      </c>
      <c r="B11" s="3" t="s">
        <v>51</v>
      </c>
      <c r="C11" s="3" t="s">
        <v>52</v>
      </c>
      <c r="D11" s="3" t="s">
        <v>12</v>
      </c>
      <c r="E11" s="3" t="s">
        <v>12</v>
      </c>
      <c r="F11" s="3" t="s">
        <v>12</v>
      </c>
      <c r="G11" s="3" t="s">
        <v>12</v>
      </c>
      <c r="H11" s="3" t="s">
        <v>12</v>
      </c>
      <c r="I11" s="3" t="s">
        <v>53</v>
      </c>
    </row>
    <row r="12" spans="1:9" x14ac:dyDescent="0.3">
      <c r="A12" s="2" t="s">
        <v>54</v>
      </c>
      <c r="B12" s="3" t="s">
        <v>55</v>
      </c>
      <c r="C12" s="3" t="s">
        <v>56</v>
      </c>
      <c r="D12" s="3" t="s">
        <v>12</v>
      </c>
      <c r="E12" s="3" t="s">
        <v>12</v>
      </c>
      <c r="F12" s="3" t="s">
        <v>12</v>
      </c>
      <c r="G12" s="3" t="s">
        <v>12</v>
      </c>
      <c r="H12" s="3" t="s">
        <v>12</v>
      </c>
      <c r="I12" s="3" t="s">
        <v>57</v>
      </c>
    </row>
    <row r="13" spans="1:9" x14ac:dyDescent="0.3">
      <c r="A13" s="2" t="s">
        <v>58</v>
      </c>
      <c r="B13" s="3" t="s">
        <v>59</v>
      </c>
      <c r="C13" s="3" t="s">
        <v>52</v>
      </c>
      <c r="D13" s="3" t="s">
        <v>12</v>
      </c>
      <c r="E13" s="3" t="s">
        <v>60</v>
      </c>
      <c r="F13" s="3" t="s">
        <v>11</v>
      </c>
      <c r="G13" s="3" t="s">
        <v>61</v>
      </c>
      <c r="H13" s="3" t="s">
        <v>12</v>
      </c>
      <c r="I13" s="3" t="s">
        <v>62</v>
      </c>
    </row>
    <row r="14" spans="1:9" x14ac:dyDescent="0.3">
      <c r="A14" s="2" t="s">
        <v>63</v>
      </c>
      <c r="B14" s="3" t="s">
        <v>64</v>
      </c>
      <c r="C14" s="3" t="s">
        <v>65</v>
      </c>
      <c r="D14" s="3" t="s">
        <v>12</v>
      </c>
      <c r="E14" s="3" t="s">
        <v>66</v>
      </c>
      <c r="F14" s="3" t="s">
        <v>12</v>
      </c>
      <c r="G14" s="3" t="s">
        <v>12</v>
      </c>
      <c r="H14" s="3" t="s">
        <v>12</v>
      </c>
      <c r="I14" s="3" t="s">
        <v>67</v>
      </c>
    </row>
    <row r="15" spans="1:9" x14ac:dyDescent="0.3">
      <c r="A15" s="2" t="s">
        <v>68</v>
      </c>
      <c r="B15" s="3" t="s">
        <v>69</v>
      </c>
      <c r="C15" s="3" t="s">
        <v>70</v>
      </c>
      <c r="D15" s="3" t="s">
        <v>12</v>
      </c>
      <c r="E15" s="3" t="s">
        <v>12</v>
      </c>
      <c r="F15" s="3" t="s">
        <v>12</v>
      </c>
      <c r="G15" s="3" t="s">
        <v>12</v>
      </c>
      <c r="H15" s="3" t="s">
        <v>12</v>
      </c>
      <c r="I15" s="3" t="s">
        <v>71</v>
      </c>
    </row>
    <row r="16" spans="1:9" x14ac:dyDescent="0.3">
      <c r="A16" s="2" t="s">
        <v>72</v>
      </c>
      <c r="B16" s="3" t="s">
        <v>73</v>
      </c>
      <c r="C16" s="3" t="s">
        <v>20</v>
      </c>
      <c r="D16" s="3" t="s">
        <v>12</v>
      </c>
      <c r="E16" s="3" t="s">
        <v>12</v>
      </c>
      <c r="F16" s="3" t="s">
        <v>12</v>
      </c>
      <c r="G16" s="3" t="s">
        <v>74</v>
      </c>
      <c r="H16" s="3" t="s">
        <v>12</v>
      </c>
      <c r="I16" s="3" t="s">
        <v>75</v>
      </c>
    </row>
    <row r="17" spans="1:9" x14ac:dyDescent="0.3">
      <c r="A17" s="2" t="s">
        <v>76</v>
      </c>
      <c r="B17" s="3" t="s">
        <v>77</v>
      </c>
      <c r="C17" s="3" t="s">
        <v>78</v>
      </c>
      <c r="D17" s="3" t="s">
        <v>79</v>
      </c>
      <c r="E17" s="3" t="s">
        <v>12</v>
      </c>
      <c r="F17" s="3" t="s">
        <v>12</v>
      </c>
      <c r="G17" s="3" t="s">
        <v>12</v>
      </c>
      <c r="H17" s="3" t="s">
        <v>12</v>
      </c>
      <c r="I17" s="3" t="s">
        <v>80</v>
      </c>
    </row>
    <row r="18" spans="1:9" x14ac:dyDescent="0.3">
      <c r="A18" s="2" t="s">
        <v>81</v>
      </c>
      <c r="B18" s="3" t="s">
        <v>82</v>
      </c>
      <c r="C18" s="3" t="s">
        <v>83</v>
      </c>
      <c r="D18" s="3" t="s">
        <v>12</v>
      </c>
      <c r="E18" s="3" t="s">
        <v>12</v>
      </c>
      <c r="F18" s="3" t="s">
        <v>12</v>
      </c>
      <c r="G18" s="3" t="s">
        <v>12</v>
      </c>
      <c r="H18" s="3" t="s">
        <v>12</v>
      </c>
      <c r="I18" s="3" t="s">
        <v>84</v>
      </c>
    </row>
    <row r="19" spans="1:9" x14ac:dyDescent="0.3">
      <c r="A19" s="2" t="s">
        <v>85</v>
      </c>
      <c r="B19" s="3" t="s">
        <v>86</v>
      </c>
      <c r="C19" s="3" t="s">
        <v>39</v>
      </c>
      <c r="D19" s="3" t="s">
        <v>12</v>
      </c>
      <c r="E19" s="3" t="s">
        <v>12</v>
      </c>
      <c r="F19" s="3" t="s">
        <v>12</v>
      </c>
      <c r="G19" s="3" t="s">
        <v>12</v>
      </c>
      <c r="H19" s="3" t="s">
        <v>12</v>
      </c>
      <c r="I19" s="3" t="s">
        <v>87</v>
      </c>
    </row>
    <row r="20" spans="1:9" x14ac:dyDescent="0.3">
      <c r="A20" s="2" t="s">
        <v>88</v>
      </c>
      <c r="B20" s="3" t="s">
        <v>89</v>
      </c>
      <c r="C20" s="3" t="s">
        <v>90</v>
      </c>
      <c r="D20" s="3" t="s">
        <v>12</v>
      </c>
      <c r="E20" s="3" t="s">
        <v>91</v>
      </c>
      <c r="F20" s="3" t="s">
        <v>92</v>
      </c>
      <c r="G20" s="3" t="s">
        <v>12</v>
      </c>
      <c r="H20" s="3" t="s">
        <v>12</v>
      </c>
      <c r="I20" s="3" t="s">
        <v>93</v>
      </c>
    </row>
    <row r="21" spans="1:9" x14ac:dyDescent="0.3">
      <c r="A21" s="2" t="s">
        <v>94</v>
      </c>
      <c r="B21" s="3" t="s">
        <v>95</v>
      </c>
      <c r="C21" s="3" t="s">
        <v>96</v>
      </c>
      <c r="D21" s="3" t="s">
        <v>12</v>
      </c>
      <c r="E21" s="3" t="s">
        <v>12</v>
      </c>
      <c r="F21" s="3" t="s">
        <v>12</v>
      </c>
      <c r="G21" s="3" t="s">
        <v>97</v>
      </c>
      <c r="H21" s="3" t="s">
        <v>12</v>
      </c>
      <c r="I21" s="3" t="s">
        <v>98</v>
      </c>
    </row>
    <row r="22" spans="1:9" x14ac:dyDescent="0.3">
      <c r="A22" s="2" t="s">
        <v>99</v>
      </c>
      <c r="B22" s="3" t="s">
        <v>100</v>
      </c>
      <c r="C22" s="3" t="s">
        <v>101</v>
      </c>
      <c r="D22" s="3" t="s">
        <v>12</v>
      </c>
      <c r="E22" s="3" t="s">
        <v>12</v>
      </c>
      <c r="F22" s="3" t="s">
        <v>12</v>
      </c>
      <c r="G22" s="3" t="s">
        <v>12</v>
      </c>
      <c r="H22" s="3" t="s">
        <v>12</v>
      </c>
      <c r="I22" s="3" t="s">
        <v>102</v>
      </c>
    </row>
    <row r="23" spans="1:9" x14ac:dyDescent="0.3">
      <c r="A23" s="2" t="s">
        <v>103</v>
      </c>
      <c r="B23" s="3" t="s">
        <v>104</v>
      </c>
      <c r="C23" s="3" t="s">
        <v>105</v>
      </c>
      <c r="D23" s="3" t="s">
        <v>12</v>
      </c>
      <c r="E23" s="3" t="s">
        <v>12</v>
      </c>
      <c r="F23" s="3" t="s">
        <v>12</v>
      </c>
      <c r="G23" s="3" t="s">
        <v>12</v>
      </c>
      <c r="H23" s="3" t="s">
        <v>12</v>
      </c>
      <c r="I23" s="3" t="s">
        <v>106</v>
      </c>
    </row>
    <row r="24" spans="1:9" x14ac:dyDescent="0.3">
      <c r="A24" s="2" t="s">
        <v>107</v>
      </c>
      <c r="B24" s="3" t="s">
        <v>108</v>
      </c>
      <c r="C24" s="3" t="s">
        <v>109</v>
      </c>
      <c r="D24" s="3" t="s">
        <v>110</v>
      </c>
      <c r="E24" s="3" t="s">
        <v>12</v>
      </c>
      <c r="F24" s="3" t="s">
        <v>12</v>
      </c>
      <c r="G24" s="3" t="s">
        <v>12</v>
      </c>
      <c r="H24" s="3" t="s">
        <v>12</v>
      </c>
      <c r="I24" s="3" t="s">
        <v>111</v>
      </c>
    </row>
    <row r="25" spans="1:9" x14ac:dyDescent="0.3">
      <c r="A25" s="2" t="s">
        <v>112</v>
      </c>
      <c r="B25" s="3" t="s">
        <v>113</v>
      </c>
      <c r="C25" s="3" t="s">
        <v>114</v>
      </c>
      <c r="D25" s="3" t="s">
        <v>12</v>
      </c>
      <c r="E25" s="3" t="s">
        <v>115</v>
      </c>
      <c r="F25" s="3" t="s">
        <v>12</v>
      </c>
      <c r="G25" s="3" t="s">
        <v>12</v>
      </c>
      <c r="H25" s="3" t="s">
        <v>12</v>
      </c>
      <c r="I25" s="3" t="s">
        <v>116</v>
      </c>
    </row>
    <row r="26" spans="1:9" x14ac:dyDescent="0.3">
      <c r="A26" s="2" t="s">
        <v>117</v>
      </c>
      <c r="B26" s="3" t="s">
        <v>118</v>
      </c>
      <c r="C26" s="3" t="s">
        <v>119</v>
      </c>
      <c r="D26" s="3" t="s">
        <v>12</v>
      </c>
      <c r="E26" s="3" t="s">
        <v>12</v>
      </c>
      <c r="F26" s="3" t="s">
        <v>12</v>
      </c>
      <c r="G26" s="3" t="s">
        <v>12</v>
      </c>
      <c r="H26" s="3" t="s">
        <v>12</v>
      </c>
      <c r="I26" s="3" t="s">
        <v>120</v>
      </c>
    </row>
    <row r="27" spans="1:9" x14ac:dyDescent="0.3">
      <c r="A27" s="2" t="s">
        <v>121</v>
      </c>
      <c r="B27" s="3" t="s">
        <v>12</v>
      </c>
      <c r="C27" s="3" t="s">
        <v>122</v>
      </c>
      <c r="D27" s="3" t="s">
        <v>12</v>
      </c>
      <c r="E27" s="3" t="s">
        <v>12</v>
      </c>
      <c r="F27" s="3" t="s">
        <v>12</v>
      </c>
      <c r="G27" s="3" t="s">
        <v>12</v>
      </c>
      <c r="H27" s="3" t="s">
        <v>12</v>
      </c>
      <c r="I27" s="3" t="s">
        <v>123</v>
      </c>
    </row>
    <row r="28" spans="1:9" x14ac:dyDescent="0.3">
      <c r="A28" s="2" t="s">
        <v>124</v>
      </c>
      <c r="B28" s="3" t="s">
        <v>125</v>
      </c>
      <c r="C28" s="3" t="s">
        <v>126</v>
      </c>
      <c r="D28" s="3" t="s">
        <v>12</v>
      </c>
      <c r="E28" s="3" t="s">
        <v>12</v>
      </c>
      <c r="F28" s="3" t="s">
        <v>12</v>
      </c>
      <c r="G28" s="3" t="s">
        <v>12</v>
      </c>
      <c r="H28" s="3" t="s">
        <v>12</v>
      </c>
      <c r="I28" s="3" t="s">
        <v>127</v>
      </c>
    </row>
    <row r="29" spans="1:9" x14ac:dyDescent="0.3">
      <c r="A29" s="2" t="s">
        <v>128</v>
      </c>
      <c r="B29" s="3" t="s">
        <v>129</v>
      </c>
      <c r="C29" s="3" t="s">
        <v>130</v>
      </c>
      <c r="D29" s="3" t="s">
        <v>12</v>
      </c>
      <c r="E29" s="3" t="s">
        <v>12</v>
      </c>
      <c r="F29" s="3" t="s">
        <v>12</v>
      </c>
      <c r="G29" s="3" t="s">
        <v>12</v>
      </c>
      <c r="H29" s="3" t="s">
        <v>12</v>
      </c>
      <c r="I29" s="3" t="s">
        <v>131</v>
      </c>
    </row>
    <row r="30" spans="1:9" x14ac:dyDescent="0.3">
      <c r="A30" s="2" t="s">
        <v>132</v>
      </c>
      <c r="B30" s="3" t="s">
        <v>133</v>
      </c>
      <c r="C30" s="3" t="s">
        <v>134</v>
      </c>
      <c r="D30" s="3" t="s">
        <v>12</v>
      </c>
      <c r="E30" s="3" t="s">
        <v>135</v>
      </c>
      <c r="F30" s="3" t="s">
        <v>136</v>
      </c>
      <c r="G30" s="3" t="s">
        <v>12</v>
      </c>
      <c r="H30" s="3" t="s">
        <v>12</v>
      </c>
      <c r="I30" s="3" t="s">
        <v>137</v>
      </c>
    </row>
    <row r="31" spans="1:9" x14ac:dyDescent="0.3">
      <c r="A31" s="2" t="s">
        <v>138</v>
      </c>
      <c r="B31" s="3" t="s">
        <v>12</v>
      </c>
      <c r="C31" s="3" t="s">
        <v>139</v>
      </c>
      <c r="D31" s="3" t="s">
        <v>12</v>
      </c>
      <c r="E31" s="3" t="s">
        <v>12</v>
      </c>
      <c r="F31" s="3" t="s">
        <v>140</v>
      </c>
      <c r="G31" s="3" t="s">
        <v>141</v>
      </c>
      <c r="H31" s="3" t="s">
        <v>12</v>
      </c>
      <c r="I31" s="3" t="s">
        <v>142</v>
      </c>
    </row>
    <row r="32" spans="1:9" x14ac:dyDescent="0.3">
      <c r="A32" s="2" t="s">
        <v>143</v>
      </c>
      <c r="B32" s="3" t="s">
        <v>113</v>
      </c>
      <c r="C32" s="3" t="s">
        <v>144</v>
      </c>
      <c r="D32" s="3" t="s">
        <v>12</v>
      </c>
      <c r="E32" s="3" t="s">
        <v>12</v>
      </c>
      <c r="F32" s="3" t="s">
        <v>12</v>
      </c>
      <c r="G32" s="3" t="s">
        <v>12</v>
      </c>
      <c r="H32" s="3" t="s">
        <v>12</v>
      </c>
      <c r="I32" s="3" t="s">
        <v>57</v>
      </c>
    </row>
    <row r="33" spans="1:9" x14ac:dyDescent="0.3">
      <c r="A33" s="2" t="s">
        <v>145</v>
      </c>
      <c r="B33" s="3" t="s">
        <v>146</v>
      </c>
      <c r="C33" s="3" t="s">
        <v>147</v>
      </c>
      <c r="D33" s="3" t="s">
        <v>12</v>
      </c>
      <c r="E33" s="3" t="s">
        <v>148</v>
      </c>
      <c r="F33" s="3" t="s">
        <v>12</v>
      </c>
      <c r="G33" s="3" t="s">
        <v>12</v>
      </c>
      <c r="H33" s="3" t="s">
        <v>12</v>
      </c>
      <c r="I33" s="3" t="s">
        <v>149</v>
      </c>
    </row>
    <row r="34" spans="1:9" x14ac:dyDescent="0.3">
      <c r="A34" s="2" t="s">
        <v>150</v>
      </c>
      <c r="B34" s="3" t="s">
        <v>77</v>
      </c>
      <c r="C34" s="3" t="s">
        <v>151</v>
      </c>
      <c r="D34" s="3" t="s">
        <v>12</v>
      </c>
      <c r="E34" s="3" t="s">
        <v>12</v>
      </c>
      <c r="F34" s="3" t="s">
        <v>12</v>
      </c>
      <c r="G34" s="3" t="s">
        <v>12</v>
      </c>
      <c r="H34" s="3" t="s">
        <v>12</v>
      </c>
      <c r="I34" s="3" t="s">
        <v>152</v>
      </c>
    </row>
    <row r="35" spans="1:9" x14ac:dyDescent="0.3">
      <c r="A35" s="2" t="s">
        <v>153</v>
      </c>
      <c r="B35" s="3" t="s">
        <v>154</v>
      </c>
      <c r="C35" s="3" t="s">
        <v>155</v>
      </c>
      <c r="D35" s="3" t="s">
        <v>12</v>
      </c>
      <c r="E35" s="3" t="s">
        <v>12</v>
      </c>
      <c r="F35" s="3" t="s">
        <v>12</v>
      </c>
      <c r="G35" s="3" t="s">
        <v>12</v>
      </c>
      <c r="H35" s="3" t="s">
        <v>12</v>
      </c>
      <c r="I35" s="3" t="s">
        <v>156</v>
      </c>
    </row>
    <row r="36" spans="1:9" x14ac:dyDescent="0.3">
      <c r="A36" s="2" t="s">
        <v>157</v>
      </c>
      <c r="B36" s="3" t="s">
        <v>12</v>
      </c>
      <c r="C36" s="3" t="s">
        <v>158</v>
      </c>
      <c r="D36" s="3" t="s">
        <v>159</v>
      </c>
      <c r="E36" s="3" t="s">
        <v>12</v>
      </c>
      <c r="F36" s="3" t="s">
        <v>12</v>
      </c>
      <c r="G36" s="3" t="s">
        <v>12</v>
      </c>
      <c r="H36" s="3" t="s">
        <v>12</v>
      </c>
      <c r="I36" s="3" t="s">
        <v>160</v>
      </c>
    </row>
    <row r="37" spans="1:9" x14ac:dyDescent="0.3">
      <c r="A37" s="2" t="s">
        <v>161</v>
      </c>
      <c r="B37" s="3" t="s">
        <v>162</v>
      </c>
      <c r="C37" s="3" t="s">
        <v>163</v>
      </c>
      <c r="D37" s="3" t="s">
        <v>12</v>
      </c>
      <c r="E37" s="3" t="s">
        <v>164</v>
      </c>
      <c r="F37" s="3" t="s">
        <v>165</v>
      </c>
      <c r="G37" s="3" t="s">
        <v>12</v>
      </c>
      <c r="H37" s="3" t="s">
        <v>12</v>
      </c>
      <c r="I37" s="3" t="s">
        <v>166</v>
      </c>
    </row>
    <row r="38" spans="1:9" x14ac:dyDescent="0.3">
      <c r="A38" s="2" t="s">
        <v>167</v>
      </c>
      <c r="B38" s="3" t="s">
        <v>168</v>
      </c>
      <c r="C38" s="3" t="s">
        <v>169</v>
      </c>
      <c r="D38" s="3" t="s">
        <v>12</v>
      </c>
      <c r="E38" s="3" t="s">
        <v>12</v>
      </c>
      <c r="F38" s="3" t="s">
        <v>12</v>
      </c>
      <c r="G38" s="3" t="s">
        <v>12</v>
      </c>
      <c r="H38" s="3" t="s">
        <v>12</v>
      </c>
      <c r="I38" s="3" t="s">
        <v>170</v>
      </c>
    </row>
    <row r="39" spans="1:9" x14ac:dyDescent="0.3">
      <c r="A39" s="2" t="s">
        <v>171</v>
      </c>
      <c r="B39" s="3" t="s">
        <v>15</v>
      </c>
      <c r="C39" s="3" t="s">
        <v>20</v>
      </c>
      <c r="D39" s="3" t="s">
        <v>12</v>
      </c>
      <c r="E39" s="3" t="s">
        <v>12</v>
      </c>
      <c r="F39" s="3" t="s">
        <v>12</v>
      </c>
      <c r="G39" s="3" t="s">
        <v>12</v>
      </c>
      <c r="H39" s="3" t="s">
        <v>12</v>
      </c>
      <c r="I39" s="3" t="s">
        <v>172</v>
      </c>
    </row>
    <row r="40" spans="1:9" x14ac:dyDescent="0.3">
      <c r="A40" s="2" t="s">
        <v>173</v>
      </c>
      <c r="B40" s="3" t="s">
        <v>174</v>
      </c>
      <c r="C40" s="3" t="s">
        <v>175</v>
      </c>
      <c r="D40" s="3" t="s">
        <v>12</v>
      </c>
      <c r="E40" s="3" t="s">
        <v>12</v>
      </c>
      <c r="F40" s="3" t="s">
        <v>12</v>
      </c>
      <c r="G40" s="3" t="s">
        <v>12</v>
      </c>
      <c r="H40" s="3" t="s">
        <v>12</v>
      </c>
      <c r="I40" s="3" t="s">
        <v>176</v>
      </c>
    </row>
    <row r="41" spans="1:9" x14ac:dyDescent="0.3">
      <c r="A41" s="2" t="s">
        <v>177</v>
      </c>
      <c r="B41" s="3" t="s">
        <v>178</v>
      </c>
      <c r="C41" s="3" t="s">
        <v>179</v>
      </c>
      <c r="D41" s="3" t="s">
        <v>12</v>
      </c>
      <c r="E41" s="3" t="s">
        <v>12</v>
      </c>
      <c r="F41" s="3" t="s">
        <v>12</v>
      </c>
      <c r="G41" s="3" t="s">
        <v>12</v>
      </c>
      <c r="H41" s="3" t="s">
        <v>12</v>
      </c>
      <c r="I41" s="3" t="s">
        <v>180</v>
      </c>
    </row>
    <row r="42" spans="1:9" x14ac:dyDescent="0.3">
      <c r="A42" s="2" t="s">
        <v>181</v>
      </c>
      <c r="B42" s="3" t="s">
        <v>182</v>
      </c>
      <c r="C42" s="3" t="s">
        <v>183</v>
      </c>
      <c r="D42" s="3" t="s">
        <v>12</v>
      </c>
      <c r="E42" s="3" t="s">
        <v>12</v>
      </c>
      <c r="F42" s="3" t="s">
        <v>12</v>
      </c>
      <c r="G42" s="3" t="s">
        <v>12</v>
      </c>
      <c r="H42" s="3" t="s">
        <v>12</v>
      </c>
      <c r="I42" s="3" t="s">
        <v>184</v>
      </c>
    </row>
    <row r="43" spans="1:9" x14ac:dyDescent="0.3">
      <c r="A43" s="2" t="s">
        <v>185</v>
      </c>
      <c r="B43" s="3" t="s">
        <v>186</v>
      </c>
      <c r="C43" s="3" t="s">
        <v>187</v>
      </c>
      <c r="D43" s="3" t="s">
        <v>12</v>
      </c>
      <c r="E43" s="3" t="s">
        <v>12</v>
      </c>
      <c r="F43" s="3" t="s">
        <v>188</v>
      </c>
      <c r="G43" s="3" t="s">
        <v>12</v>
      </c>
      <c r="H43" s="3" t="s">
        <v>12</v>
      </c>
      <c r="I43" s="3" t="s">
        <v>189</v>
      </c>
    </row>
    <row r="44" spans="1:9" x14ac:dyDescent="0.3">
      <c r="A44" s="2" t="s">
        <v>190</v>
      </c>
      <c r="B44" s="3" t="s">
        <v>12</v>
      </c>
      <c r="C44" s="3" t="s">
        <v>191</v>
      </c>
      <c r="D44" s="3" t="s">
        <v>12</v>
      </c>
      <c r="E44" s="3" t="s">
        <v>12</v>
      </c>
      <c r="F44" s="3" t="s">
        <v>12</v>
      </c>
      <c r="G44" s="3" t="s">
        <v>12</v>
      </c>
      <c r="H44" s="3" t="s">
        <v>12</v>
      </c>
      <c r="I44" s="3" t="s">
        <v>192</v>
      </c>
    </row>
    <row r="45" spans="1:9" x14ac:dyDescent="0.3">
      <c r="A45" s="2" t="s">
        <v>193</v>
      </c>
      <c r="B45" s="3" t="s">
        <v>194</v>
      </c>
      <c r="C45" s="3" t="s">
        <v>39</v>
      </c>
      <c r="D45" s="3" t="s">
        <v>12</v>
      </c>
      <c r="E45" s="3" t="s">
        <v>12</v>
      </c>
      <c r="F45" s="3" t="s">
        <v>12</v>
      </c>
      <c r="G45" s="3" t="s">
        <v>195</v>
      </c>
      <c r="H45" s="3" t="s">
        <v>12</v>
      </c>
      <c r="I45" s="3" t="s">
        <v>196</v>
      </c>
    </row>
    <row r="46" spans="1:9" x14ac:dyDescent="0.3">
      <c r="A46" s="2" t="s">
        <v>197</v>
      </c>
      <c r="B46" s="3" t="s">
        <v>198</v>
      </c>
      <c r="C46" s="3" t="s">
        <v>199</v>
      </c>
      <c r="D46" s="3" t="s">
        <v>12</v>
      </c>
      <c r="E46" s="3" t="s">
        <v>12</v>
      </c>
      <c r="F46" s="3" t="s">
        <v>12</v>
      </c>
      <c r="G46" s="3" t="s">
        <v>12</v>
      </c>
      <c r="H46" s="3" t="s">
        <v>12</v>
      </c>
      <c r="I46" s="3" t="s">
        <v>200</v>
      </c>
    </row>
    <row r="47" spans="1:9" x14ac:dyDescent="0.3">
      <c r="A47" s="2" t="s">
        <v>201</v>
      </c>
      <c r="B47" s="3" t="s">
        <v>202</v>
      </c>
      <c r="C47" s="3" t="s">
        <v>203</v>
      </c>
      <c r="D47" s="3" t="s">
        <v>204</v>
      </c>
      <c r="E47" s="3" t="s">
        <v>12</v>
      </c>
      <c r="F47" s="3" t="s">
        <v>12</v>
      </c>
      <c r="G47" s="3" t="s">
        <v>12</v>
      </c>
      <c r="H47" s="3" t="s">
        <v>12</v>
      </c>
      <c r="I47" s="3" t="s">
        <v>205</v>
      </c>
    </row>
    <row r="48" spans="1:9" x14ac:dyDescent="0.3">
      <c r="A48" s="2" t="s">
        <v>206</v>
      </c>
      <c r="B48" s="3" t="s">
        <v>146</v>
      </c>
      <c r="C48" s="3" t="s">
        <v>203</v>
      </c>
      <c r="D48" s="3" t="s">
        <v>12</v>
      </c>
      <c r="E48" s="3" t="s">
        <v>12</v>
      </c>
      <c r="F48" s="3" t="s">
        <v>12</v>
      </c>
      <c r="G48" s="3" t="s">
        <v>12</v>
      </c>
      <c r="H48" s="3" t="s">
        <v>12</v>
      </c>
      <c r="I48" s="3" t="s">
        <v>207</v>
      </c>
    </row>
    <row r="49" spans="1:9" x14ac:dyDescent="0.3">
      <c r="A49" s="2" t="s">
        <v>208</v>
      </c>
      <c r="B49" s="3" t="s">
        <v>86</v>
      </c>
      <c r="C49" s="3" t="s">
        <v>209</v>
      </c>
      <c r="D49" s="3" t="s">
        <v>12</v>
      </c>
      <c r="E49" s="3" t="s">
        <v>12</v>
      </c>
      <c r="F49" s="3" t="s">
        <v>12</v>
      </c>
      <c r="G49" s="3" t="s">
        <v>12</v>
      </c>
      <c r="H49" s="3" t="s">
        <v>12</v>
      </c>
      <c r="I49" s="3" t="s">
        <v>196</v>
      </c>
    </row>
    <row r="50" spans="1:9" x14ac:dyDescent="0.3">
      <c r="A50" s="2" t="s">
        <v>210</v>
      </c>
      <c r="B50" s="3" t="s">
        <v>108</v>
      </c>
      <c r="C50" s="3" t="s">
        <v>211</v>
      </c>
      <c r="D50" s="3" t="s">
        <v>12</v>
      </c>
      <c r="E50" s="3" t="s">
        <v>12</v>
      </c>
      <c r="F50" s="3" t="s">
        <v>12</v>
      </c>
      <c r="G50" s="3" t="s">
        <v>12</v>
      </c>
      <c r="H50" s="3" t="s">
        <v>12</v>
      </c>
      <c r="I50" s="3" t="s">
        <v>212</v>
      </c>
    </row>
    <row r="51" spans="1:9" x14ac:dyDescent="0.3">
      <c r="A51" s="2" t="s">
        <v>213</v>
      </c>
      <c r="B51" s="3" t="s">
        <v>12</v>
      </c>
      <c r="C51" s="3" t="s">
        <v>214</v>
      </c>
      <c r="D51" s="3" t="s">
        <v>12</v>
      </c>
      <c r="E51" s="3" t="s">
        <v>12</v>
      </c>
      <c r="F51" s="3" t="s">
        <v>12</v>
      </c>
      <c r="G51" s="3" t="s">
        <v>215</v>
      </c>
      <c r="H51" s="3" t="s">
        <v>12</v>
      </c>
      <c r="I51" s="3" t="s">
        <v>216</v>
      </c>
    </row>
    <row r="52" spans="1:9" x14ac:dyDescent="0.3">
      <c r="A52" s="2" t="s">
        <v>217</v>
      </c>
      <c r="B52" s="3" t="s">
        <v>218</v>
      </c>
      <c r="C52" s="3" t="s">
        <v>219</v>
      </c>
      <c r="D52" s="3" t="s">
        <v>12</v>
      </c>
      <c r="E52" s="3" t="s">
        <v>12</v>
      </c>
      <c r="F52" s="3" t="s">
        <v>12</v>
      </c>
      <c r="G52" s="3" t="s">
        <v>220</v>
      </c>
      <c r="H52" s="3" t="s">
        <v>12</v>
      </c>
      <c r="I52" s="3" t="s">
        <v>221</v>
      </c>
    </row>
    <row r="53" spans="1:9" x14ac:dyDescent="0.3">
      <c r="A53" s="2" t="s">
        <v>222</v>
      </c>
      <c r="B53" s="3" t="s">
        <v>38</v>
      </c>
      <c r="C53" s="3" t="s">
        <v>126</v>
      </c>
      <c r="D53" s="3" t="s">
        <v>12</v>
      </c>
      <c r="E53" s="3" t="s">
        <v>12</v>
      </c>
      <c r="F53" s="3" t="s">
        <v>12</v>
      </c>
      <c r="G53" s="3" t="s">
        <v>12</v>
      </c>
      <c r="H53" s="3" t="s">
        <v>12</v>
      </c>
      <c r="I53" s="3" t="s">
        <v>223</v>
      </c>
    </row>
    <row r="54" spans="1:9" x14ac:dyDescent="0.3">
      <c r="A54" s="2" t="s">
        <v>224</v>
      </c>
      <c r="B54" s="3" t="s">
        <v>225</v>
      </c>
      <c r="C54" s="3" t="s">
        <v>39</v>
      </c>
      <c r="D54" s="3" t="s">
        <v>12</v>
      </c>
      <c r="E54" s="3" t="s">
        <v>12</v>
      </c>
      <c r="F54" s="3" t="s">
        <v>12</v>
      </c>
      <c r="G54" s="3" t="s">
        <v>12</v>
      </c>
      <c r="H54" s="3" t="s">
        <v>12</v>
      </c>
      <c r="I54" s="3" t="s">
        <v>226</v>
      </c>
    </row>
    <row r="55" spans="1:9" x14ac:dyDescent="0.3">
      <c r="A55" s="2" t="s">
        <v>227</v>
      </c>
      <c r="B55" s="3" t="s">
        <v>228</v>
      </c>
      <c r="C55" s="3" t="s">
        <v>229</v>
      </c>
      <c r="D55" s="3" t="s">
        <v>12</v>
      </c>
      <c r="E55" s="3" t="s">
        <v>12</v>
      </c>
      <c r="F55" s="3" t="s">
        <v>12</v>
      </c>
      <c r="G55" s="3" t="s">
        <v>12</v>
      </c>
      <c r="H55" s="3" t="s">
        <v>12</v>
      </c>
      <c r="I55" s="3" t="s">
        <v>230</v>
      </c>
    </row>
    <row r="56" spans="1:9" x14ac:dyDescent="0.3">
      <c r="A56" s="2" t="s">
        <v>231</v>
      </c>
      <c r="B56" s="3" t="s">
        <v>232</v>
      </c>
      <c r="C56" s="3" t="s">
        <v>233</v>
      </c>
      <c r="D56" s="3" t="s">
        <v>12</v>
      </c>
      <c r="E56" s="3" t="s">
        <v>12</v>
      </c>
      <c r="F56" s="3" t="s">
        <v>12</v>
      </c>
      <c r="G56" s="3" t="s">
        <v>12</v>
      </c>
      <c r="H56" s="3" t="s">
        <v>12</v>
      </c>
      <c r="I56" s="3" t="s">
        <v>234</v>
      </c>
    </row>
    <row r="57" spans="1:9" x14ac:dyDescent="0.3">
      <c r="A57" s="2" t="s">
        <v>235</v>
      </c>
      <c r="B57" s="3" t="s">
        <v>125</v>
      </c>
      <c r="C57" s="3" t="s">
        <v>203</v>
      </c>
      <c r="D57" s="3" t="s">
        <v>12</v>
      </c>
      <c r="E57" s="3" t="s">
        <v>12</v>
      </c>
      <c r="F57" s="3" t="s">
        <v>12</v>
      </c>
      <c r="G57" s="3" t="s">
        <v>12</v>
      </c>
      <c r="H57" s="3" t="s">
        <v>12</v>
      </c>
      <c r="I57" s="3" t="s">
        <v>236</v>
      </c>
    </row>
    <row r="58" spans="1:9" x14ac:dyDescent="0.3">
      <c r="A58" s="2" t="s">
        <v>237</v>
      </c>
      <c r="B58" s="3" t="s">
        <v>15</v>
      </c>
      <c r="C58" s="3" t="s">
        <v>203</v>
      </c>
      <c r="D58" s="3" t="s">
        <v>12</v>
      </c>
      <c r="E58" s="3" t="s">
        <v>12</v>
      </c>
      <c r="F58" s="3" t="s">
        <v>12</v>
      </c>
      <c r="G58" s="3" t="s">
        <v>12</v>
      </c>
      <c r="H58" s="3" t="s">
        <v>12</v>
      </c>
      <c r="I58" s="3" t="s">
        <v>238</v>
      </c>
    </row>
    <row r="59" spans="1:9" x14ac:dyDescent="0.3">
      <c r="A59" s="2" t="s">
        <v>239</v>
      </c>
      <c r="B59" s="3" t="s">
        <v>47</v>
      </c>
      <c r="C59" s="3" t="s">
        <v>240</v>
      </c>
      <c r="D59" s="3" t="s">
        <v>12</v>
      </c>
      <c r="E59" s="3" t="s">
        <v>12</v>
      </c>
      <c r="F59" s="3" t="s">
        <v>12</v>
      </c>
      <c r="G59" s="3" t="s">
        <v>12</v>
      </c>
      <c r="H59" s="3" t="s">
        <v>12</v>
      </c>
      <c r="I59" s="3" t="s">
        <v>241</v>
      </c>
    </row>
    <row r="60" spans="1:9" x14ac:dyDescent="0.3">
      <c r="A60" s="2" t="s">
        <v>242</v>
      </c>
      <c r="B60" s="3" t="s">
        <v>243</v>
      </c>
      <c r="C60" s="3" t="s">
        <v>211</v>
      </c>
      <c r="D60" s="3" t="s">
        <v>12</v>
      </c>
      <c r="E60" s="3" t="s">
        <v>244</v>
      </c>
      <c r="F60" s="3" t="s">
        <v>245</v>
      </c>
      <c r="G60" s="3" t="s">
        <v>12</v>
      </c>
      <c r="H60" s="3" t="s">
        <v>12</v>
      </c>
      <c r="I60" s="3" t="s">
        <v>246</v>
      </c>
    </row>
    <row r="61" spans="1:9" x14ac:dyDescent="0.3">
      <c r="A61" s="2" t="s">
        <v>247</v>
      </c>
      <c r="B61" s="3" t="s">
        <v>86</v>
      </c>
      <c r="C61" s="3" t="s">
        <v>248</v>
      </c>
      <c r="D61" s="3" t="s">
        <v>12</v>
      </c>
      <c r="E61" s="3" t="s">
        <v>249</v>
      </c>
      <c r="F61" s="3" t="s">
        <v>12</v>
      </c>
      <c r="G61" s="3" t="s">
        <v>250</v>
      </c>
      <c r="H61" s="3" t="s">
        <v>12</v>
      </c>
      <c r="I61" s="3" t="s">
        <v>251</v>
      </c>
    </row>
    <row r="62" spans="1:9" x14ac:dyDescent="0.3">
      <c r="A62" s="2" t="s">
        <v>252</v>
      </c>
      <c r="B62" s="3" t="s">
        <v>12</v>
      </c>
      <c r="C62" s="3" t="s">
        <v>253</v>
      </c>
      <c r="D62" s="3" t="s">
        <v>12</v>
      </c>
      <c r="E62" s="3" t="s">
        <v>12</v>
      </c>
      <c r="F62" s="3" t="s">
        <v>12</v>
      </c>
      <c r="G62" s="3" t="s">
        <v>12</v>
      </c>
      <c r="H62" s="3" t="s">
        <v>12</v>
      </c>
      <c r="I62" s="3" t="s">
        <v>254</v>
      </c>
    </row>
    <row r="63" spans="1:9" x14ac:dyDescent="0.3">
      <c r="A63" s="2" t="s">
        <v>255</v>
      </c>
      <c r="B63" s="3" t="s">
        <v>108</v>
      </c>
      <c r="C63" s="3" t="s">
        <v>52</v>
      </c>
      <c r="D63" s="3" t="s">
        <v>256</v>
      </c>
      <c r="E63" s="3" t="s">
        <v>12</v>
      </c>
      <c r="F63" s="3" t="s">
        <v>12</v>
      </c>
      <c r="G63" s="3" t="s">
        <v>12</v>
      </c>
      <c r="H63" s="3" t="s">
        <v>12</v>
      </c>
      <c r="I63" s="3" t="s">
        <v>257</v>
      </c>
    </row>
    <row r="64" spans="1:9" x14ac:dyDescent="0.3">
      <c r="A64" s="2" t="s">
        <v>258</v>
      </c>
      <c r="B64" s="3" t="s">
        <v>113</v>
      </c>
      <c r="C64" s="3" t="s">
        <v>233</v>
      </c>
      <c r="D64" s="3" t="s">
        <v>12</v>
      </c>
      <c r="E64" s="3" t="s">
        <v>259</v>
      </c>
      <c r="F64" s="3" t="s">
        <v>260</v>
      </c>
      <c r="G64" s="3" t="s">
        <v>12</v>
      </c>
      <c r="H64" s="3" t="s">
        <v>12</v>
      </c>
      <c r="I64" s="3" t="s">
        <v>261</v>
      </c>
    </row>
    <row r="65" spans="1:9" x14ac:dyDescent="0.3">
      <c r="A65" s="2" t="s">
        <v>262</v>
      </c>
      <c r="B65" s="3" t="s">
        <v>263</v>
      </c>
      <c r="C65" s="3" t="s">
        <v>264</v>
      </c>
      <c r="D65" s="3" t="s">
        <v>12</v>
      </c>
      <c r="E65" s="3" t="s">
        <v>265</v>
      </c>
      <c r="F65" s="3" t="s">
        <v>266</v>
      </c>
      <c r="G65" s="3" t="s">
        <v>12</v>
      </c>
      <c r="H65" s="3" t="s">
        <v>12</v>
      </c>
      <c r="I65" s="3" t="s">
        <v>267</v>
      </c>
    </row>
    <row r="66" spans="1:9" x14ac:dyDescent="0.3">
      <c r="A66" s="2" t="s">
        <v>268</v>
      </c>
      <c r="B66" s="3" t="s">
        <v>12</v>
      </c>
      <c r="C66" s="3" t="s">
        <v>269</v>
      </c>
      <c r="D66" s="3" t="s">
        <v>12</v>
      </c>
      <c r="E66" s="3" t="s">
        <v>12</v>
      </c>
      <c r="F66" s="3" t="s">
        <v>12</v>
      </c>
      <c r="G66" s="3" t="s">
        <v>270</v>
      </c>
      <c r="H66" s="3" t="s">
        <v>12</v>
      </c>
      <c r="I66" s="3" t="s">
        <v>271</v>
      </c>
    </row>
    <row r="67" spans="1:9" x14ac:dyDescent="0.3">
      <c r="A67" s="2" t="s">
        <v>272</v>
      </c>
      <c r="B67" s="3" t="s">
        <v>168</v>
      </c>
      <c r="C67" s="3" t="s">
        <v>273</v>
      </c>
      <c r="D67" s="3" t="s">
        <v>12</v>
      </c>
      <c r="E67" s="3" t="s">
        <v>12</v>
      </c>
      <c r="F67" s="3" t="s">
        <v>12</v>
      </c>
      <c r="G67" s="3" t="s">
        <v>12</v>
      </c>
      <c r="H67" s="3" t="s">
        <v>12</v>
      </c>
      <c r="I67" s="3" t="s">
        <v>274</v>
      </c>
    </row>
    <row r="68" spans="1:9" x14ac:dyDescent="0.3">
      <c r="A68" s="2" t="s">
        <v>275</v>
      </c>
      <c r="B68" s="3" t="s">
        <v>276</v>
      </c>
      <c r="C68" s="3" t="s">
        <v>277</v>
      </c>
      <c r="D68" s="3" t="s">
        <v>12</v>
      </c>
      <c r="E68" s="3" t="s">
        <v>12</v>
      </c>
      <c r="F68" s="3" t="s">
        <v>12</v>
      </c>
      <c r="G68" s="3" t="s">
        <v>12</v>
      </c>
      <c r="H68" s="3" t="s">
        <v>12</v>
      </c>
      <c r="I68" s="3" t="s">
        <v>278</v>
      </c>
    </row>
    <row r="69" spans="1:9" x14ac:dyDescent="0.3">
      <c r="A69" s="2" t="s">
        <v>279</v>
      </c>
      <c r="B69" s="3" t="s">
        <v>19</v>
      </c>
      <c r="C69" s="3" t="s">
        <v>280</v>
      </c>
      <c r="D69" s="3" t="s">
        <v>281</v>
      </c>
      <c r="E69" s="3" t="s">
        <v>12</v>
      </c>
      <c r="F69" s="3" t="s">
        <v>12</v>
      </c>
      <c r="G69" s="3" t="s">
        <v>12</v>
      </c>
      <c r="H69" s="3" t="s">
        <v>12</v>
      </c>
      <c r="I69" s="3" t="s">
        <v>282</v>
      </c>
    </row>
    <row r="70" spans="1:9" x14ac:dyDescent="0.3">
      <c r="A70" s="2" t="s">
        <v>283</v>
      </c>
      <c r="B70" s="3" t="s">
        <v>38</v>
      </c>
      <c r="C70" s="3" t="s">
        <v>16</v>
      </c>
      <c r="D70" s="3" t="s">
        <v>12</v>
      </c>
      <c r="E70" s="3" t="s">
        <v>12</v>
      </c>
      <c r="F70" s="3" t="s">
        <v>12</v>
      </c>
      <c r="G70" s="3" t="s">
        <v>12</v>
      </c>
      <c r="H70" s="3" t="s">
        <v>12</v>
      </c>
      <c r="I70" s="3" t="s">
        <v>131</v>
      </c>
    </row>
    <row r="71" spans="1:9" x14ac:dyDescent="0.3">
      <c r="A71" s="2" t="s">
        <v>284</v>
      </c>
      <c r="B71" s="3" t="s">
        <v>285</v>
      </c>
      <c r="C71" s="3" t="s">
        <v>286</v>
      </c>
      <c r="D71" s="3" t="s">
        <v>12</v>
      </c>
      <c r="E71" s="3" t="s">
        <v>12</v>
      </c>
      <c r="F71" s="3" t="s">
        <v>287</v>
      </c>
      <c r="G71" s="3" t="s">
        <v>12</v>
      </c>
      <c r="H71" s="3" t="s">
        <v>12</v>
      </c>
      <c r="I71" s="3" t="s">
        <v>288</v>
      </c>
    </row>
    <row r="72" spans="1:9" x14ac:dyDescent="0.3">
      <c r="A72" s="2" t="s">
        <v>289</v>
      </c>
      <c r="B72" s="3" t="s">
        <v>125</v>
      </c>
      <c r="C72" s="3" t="s">
        <v>290</v>
      </c>
      <c r="D72" s="3" t="s">
        <v>12</v>
      </c>
      <c r="E72" s="3" t="s">
        <v>12</v>
      </c>
      <c r="F72" s="3" t="s">
        <v>12</v>
      </c>
      <c r="G72" s="3" t="s">
        <v>12</v>
      </c>
      <c r="H72" s="3" t="s">
        <v>12</v>
      </c>
      <c r="I72" s="3" t="s">
        <v>236</v>
      </c>
    </row>
    <row r="73" spans="1:9" x14ac:dyDescent="0.3">
      <c r="A73" s="2" t="s">
        <v>291</v>
      </c>
      <c r="B73" s="3" t="s">
        <v>168</v>
      </c>
      <c r="C73" s="3" t="s">
        <v>292</v>
      </c>
      <c r="D73" s="3" t="s">
        <v>12</v>
      </c>
      <c r="E73" s="3" t="s">
        <v>12</v>
      </c>
      <c r="F73" s="3" t="s">
        <v>293</v>
      </c>
      <c r="G73" s="3" t="s">
        <v>12</v>
      </c>
      <c r="H73" s="3" t="s">
        <v>12</v>
      </c>
      <c r="I73" s="3" t="s">
        <v>294</v>
      </c>
    </row>
    <row r="74" spans="1:9" x14ac:dyDescent="0.3">
      <c r="A74" s="2" t="s">
        <v>295</v>
      </c>
      <c r="B74" s="3" t="s">
        <v>162</v>
      </c>
      <c r="C74" s="3" t="s">
        <v>296</v>
      </c>
      <c r="D74" s="3" t="s">
        <v>297</v>
      </c>
      <c r="E74" s="3" t="s">
        <v>12</v>
      </c>
      <c r="F74" s="3" t="s">
        <v>12</v>
      </c>
      <c r="G74" s="3" t="s">
        <v>12</v>
      </c>
      <c r="H74" s="3" t="s">
        <v>12</v>
      </c>
      <c r="I74" s="3" t="s">
        <v>298</v>
      </c>
    </row>
    <row r="75" spans="1:9" x14ac:dyDescent="0.3">
      <c r="A75" s="2" t="s">
        <v>299</v>
      </c>
      <c r="B75" s="3" t="s">
        <v>15</v>
      </c>
      <c r="C75" s="3" t="s">
        <v>139</v>
      </c>
      <c r="D75" s="3" t="s">
        <v>12</v>
      </c>
      <c r="E75" s="3" t="s">
        <v>12</v>
      </c>
      <c r="F75" s="3" t="s">
        <v>300</v>
      </c>
      <c r="G75" s="3" t="s">
        <v>12</v>
      </c>
      <c r="H75" s="3" t="s">
        <v>12</v>
      </c>
      <c r="I75" s="3" t="s">
        <v>301</v>
      </c>
    </row>
    <row r="76" spans="1:9" x14ac:dyDescent="0.3">
      <c r="A76" s="2" t="s">
        <v>302</v>
      </c>
      <c r="B76" s="3" t="s">
        <v>38</v>
      </c>
      <c r="C76" s="3" t="s">
        <v>39</v>
      </c>
      <c r="D76" s="3" t="s">
        <v>12</v>
      </c>
      <c r="E76" s="3" t="s">
        <v>12</v>
      </c>
      <c r="F76" s="3" t="s">
        <v>12</v>
      </c>
      <c r="G76" s="3" t="s">
        <v>12</v>
      </c>
      <c r="H76" s="3" t="s">
        <v>303</v>
      </c>
      <c r="I76" s="3" t="s">
        <v>304</v>
      </c>
    </row>
    <row r="77" spans="1:9" x14ac:dyDescent="0.3">
      <c r="A77" s="2" t="s">
        <v>305</v>
      </c>
      <c r="B77" s="3" t="s">
        <v>306</v>
      </c>
      <c r="C77" s="3" t="s">
        <v>307</v>
      </c>
      <c r="D77" s="3" t="s">
        <v>70</v>
      </c>
      <c r="E77" s="3" t="s">
        <v>12</v>
      </c>
      <c r="F77" s="3" t="s">
        <v>12</v>
      </c>
      <c r="G77" s="3" t="s">
        <v>12</v>
      </c>
      <c r="H77" s="3" t="s">
        <v>12</v>
      </c>
      <c r="I77" s="3" t="s">
        <v>308</v>
      </c>
    </row>
    <row r="78" spans="1:9" x14ac:dyDescent="0.3">
      <c r="A78" s="2" t="s">
        <v>309</v>
      </c>
      <c r="B78" s="3" t="s">
        <v>310</v>
      </c>
      <c r="C78" s="3" t="s">
        <v>311</v>
      </c>
      <c r="D78" s="3" t="s">
        <v>12</v>
      </c>
      <c r="E78" s="3" t="s">
        <v>12</v>
      </c>
      <c r="F78" s="3" t="s">
        <v>312</v>
      </c>
      <c r="G78" s="3" t="s">
        <v>12</v>
      </c>
      <c r="H78" s="3" t="s">
        <v>313</v>
      </c>
      <c r="I78" s="3" t="s">
        <v>314</v>
      </c>
    </row>
    <row r="79" spans="1:9" x14ac:dyDescent="0.3">
      <c r="A79" s="2" t="s">
        <v>315</v>
      </c>
      <c r="B79" s="3" t="s">
        <v>38</v>
      </c>
      <c r="C79" s="3" t="s">
        <v>316</v>
      </c>
      <c r="D79" s="3" t="s">
        <v>317</v>
      </c>
      <c r="E79" s="3" t="s">
        <v>12</v>
      </c>
      <c r="F79" s="3" t="s">
        <v>318</v>
      </c>
      <c r="G79" s="3" t="s">
        <v>12</v>
      </c>
      <c r="H79" s="3" t="s">
        <v>12</v>
      </c>
      <c r="I79" s="3" t="s">
        <v>319</v>
      </c>
    </row>
    <row r="80" spans="1:9" x14ac:dyDescent="0.3">
      <c r="A80" s="2" t="s">
        <v>320</v>
      </c>
      <c r="B80" s="3" t="s">
        <v>113</v>
      </c>
      <c r="C80" s="3" t="s">
        <v>321</v>
      </c>
      <c r="D80" s="3" t="s">
        <v>12</v>
      </c>
      <c r="E80" s="3" t="s">
        <v>12</v>
      </c>
      <c r="F80" s="3" t="s">
        <v>12</v>
      </c>
      <c r="G80" s="3" t="s">
        <v>12</v>
      </c>
      <c r="H80" s="3" t="s">
        <v>12</v>
      </c>
      <c r="I80" s="3" t="s">
        <v>322</v>
      </c>
    </row>
    <row r="81" spans="1:9" x14ac:dyDescent="0.3">
      <c r="A81" s="2" t="s">
        <v>323</v>
      </c>
      <c r="B81" s="3" t="s">
        <v>324</v>
      </c>
      <c r="C81" s="3" t="s">
        <v>325</v>
      </c>
      <c r="D81" s="3" t="s">
        <v>326</v>
      </c>
      <c r="E81" s="3" t="s">
        <v>12</v>
      </c>
      <c r="F81" s="3" t="s">
        <v>12</v>
      </c>
      <c r="G81" s="3" t="s">
        <v>12</v>
      </c>
      <c r="H81" s="3" t="s">
        <v>12</v>
      </c>
      <c r="I81" s="3" t="s">
        <v>327</v>
      </c>
    </row>
    <row r="82" spans="1:9" x14ac:dyDescent="0.3">
      <c r="A82" s="2" t="s">
        <v>328</v>
      </c>
      <c r="B82" s="3" t="s">
        <v>329</v>
      </c>
      <c r="C82" s="3" t="s">
        <v>330</v>
      </c>
      <c r="D82" s="3" t="s">
        <v>12</v>
      </c>
      <c r="E82" s="3" t="s">
        <v>12</v>
      </c>
      <c r="F82" s="3" t="s">
        <v>331</v>
      </c>
      <c r="G82" s="3" t="s">
        <v>12</v>
      </c>
      <c r="H82" s="3" t="s">
        <v>12</v>
      </c>
      <c r="I82" s="3" t="s">
        <v>332</v>
      </c>
    </row>
    <row r="83" spans="1:9" x14ac:dyDescent="0.3">
      <c r="A83" s="2" t="s">
        <v>333</v>
      </c>
      <c r="B83" s="3" t="s">
        <v>334</v>
      </c>
      <c r="C83" s="3" t="s">
        <v>335</v>
      </c>
      <c r="D83" s="3" t="s">
        <v>12</v>
      </c>
      <c r="E83" s="3" t="s">
        <v>12</v>
      </c>
      <c r="F83" s="3" t="s">
        <v>12</v>
      </c>
      <c r="G83" s="3" t="s">
        <v>12</v>
      </c>
      <c r="H83" s="3" t="s">
        <v>12</v>
      </c>
      <c r="I83" s="3" t="s">
        <v>336</v>
      </c>
    </row>
    <row r="84" spans="1:9" x14ac:dyDescent="0.3">
      <c r="A84" s="2" t="s">
        <v>337</v>
      </c>
      <c r="B84" s="3" t="s">
        <v>12</v>
      </c>
      <c r="C84" s="3" t="s">
        <v>139</v>
      </c>
      <c r="D84" s="3" t="s">
        <v>12</v>
      </c>
      <c r="E84" s="3" t="s">
        <v>12</v>
      </c>
      <c r="F84" s="3" t="s">
        <v>12</v>
      </c>
      <c r="G84" s="3" t="s">
        <v>12</v>
      </c>
      <c r="H84" s="3" t="s">
        <v>12</v>
      </c>
      <c r="I84" s="3" t="s">
        <v>338</v>
      </c>
    </row>
    <row r="85" spans="1:9" x14ac:dyDescent="0.3">
      <c r="A85" s="2" t="s">
        <v>339</v>
      </c>
      <c r="B85" s="3" t="s">
        <v>340</v>
      </c>
      <c r="C85" s="3" t="s">
        <v>147</v>
      </c>
      <c r="D85" s="3" t="s">
        <v>12</v>
      </c>
      <c r="E85" s="3" t="s">
        <v>12</v>
      </c>
      <c r="F85" s="3" t="s">
        <v>12</v>
      </c>
      <c r="G85" s="3" t="s">
        <v>12</v>
      </c>
      <c r="H85" s="3" t="s">
        <v>12</v>
      </c>
      <c r="I85" s="3" t="s">
        <v>341</v>
      </c>
    </row>
    <row r="86" spans="1:9" x14ac:dyDescent="0.3">
      <c r="A86" s="2" t="s">
        <v>342</v>
      </c>
      <c r="B86" s="3" t="s">
        <v>15</v>
      </c>
      <c r="C86" s="3" t="s">
        <v>343</v>
      </c>
      <c r="D86" s="3" t="s">
        <v>12</v>
      </c>
      <c r="E86" s="3" t="s">
        <v>12</v>
      </c>
      <c r="F86" s="3" t="s">
        <v>12</v>
      </c>
      <c r="G86" s="3" t="s">
        <v>12</v>
      </c>
      <c r="H86" s="3" t="s">
        <v>12</v>
      </c>
      <c r="I86" s="3" t="s">
        <v>344</v>
      </c>
    </row>
    <row r="87" spans="1:9" x14ac:dyDescent="0.3">
      <c r="A87" s="2" t="s">
        <v>345</v>
      </c>
      <c r="B87" s="3" t="s">
        <v>346</v>
      </c>
      <c r="C87" s="3" t="s">
        <v>347</v>
      </c>
      <c r="D87" s="3" t="s">
        <v>12</v>
      </c>
      <c r="E87" s="3" t="s">
        <v>12</v>
      </c>
      <c r="F87" s="3" t="s">
        <v>12</v>
      </c>
      <c r="G87" s="3" t="s">
        <v>12</v>
      </c>
      <c r="H87" s="3" t="s">
        <v>348</v>
      </c>
      <c r="I87" s="3" t="s">
        <v>349</v>
      </c>
    </row>
    <row r="88" spans="1:9" x14ac:dyDescent="0.3">
      <c r="A88" s="2" t="s">
        <v>350</v>
      </c>
      <c r="B88" s="3" t="s">
        <v>351</v>
      </c>
      <c r="C88" s="3" t="s">
        <v>290</v>
      </c>
      <c r="D88" s="3" t="s">
        <v>12</v>
      </c>
      <c r="E88" s="3" t="s">
        <v>12</v>
      </c>
      <c r="F88" s="3" t="s">
        <v>12</v>
      </c>
      <c r="G88" s="3" t="s">
        <v>12</v>
      </c>
      <c r="H88" s="3" t="s">
        <v>352</v>
      </c>
      <c r="I88" s="3" t="s">
        <v>353</v>
      </c>
    </row>
    <row r="89" spans="1:9" x14ac:dyDescent="0.3">
      <c r="A89" s="2" t="s">
        <v>354</v>
      </c>
      <c r="B89" s="3" t="s">
        <v>355</v>
      </c>
      <c r="C89" s="3" t="s">
        <v>356</v>
      </c>
      <c r="D89" s="3" t="s">
        <v>12</v>
      </c>
      <c r="E89" s="3" t="s">
        <v>357</v>
      </c>
      <c r="F89" s="3" t="s">
        <v>12</v>
      </c>
      <c r="G89" s="3" t="s">
        <v>12</v>
      </c>
      <c r="H89" s="3" t="s">
        <v>358</v>
      </c>
      <c r="I89" s="3" t="s">
        <v>359</v>
      </c>
    </row>
    <row r="90" spans="1:9" x14ac:dyDescent="0.3">
      <c r="A90" s="2" t="s">
        <v>360</v>
      </c>
      <c r="B90" s="3" t="s">
        <v>361</v>
      </c>
      <c r="C90" s="3" t="s">
        <v>362</v>
      </c>
      <c r="D90" s="3" t="s">
        <v>12</v>
      </c>
      <c r="E90" s="3" t="s">
        <v>363</v>
      </c>
      <c r="F90" s="3" t="s">
        <v>364</v>
      </c>
      <c r="G90" s="3" t="s">
        <v>12</v>
      </c>
      <c r="H90" s="3" t="s">
        <v>365</v>
      </c>
      <c r="I90" s="3" t="s">
        <v>366</v>
      </c>
    </row>
    <row r="91" spans="1:9" x14ac:dyDescent="0.3">
      <c r="A91" s="2" t="s">
        <v>367</v>
      </c>
      <c r="B91" s="3" t="s">
        <v>368</v>
      </c>
      <c r="C91" s="3" t="s">
        <v>126</v>
      </c>
      <c r="D91" s="3" t="s">
        <v>12</v>
      </c>
      <c r="E91" s="3" t="s">
        <v>12</v>
      </c>
      <c r="F91" s="3" t="s">
        <v>12</v>
      </c>
      <c r="G91" s="3" t="s">
        <v>12</v>
      </c>
      <c r="H91" s="3" t="s">
        <v>369</v>
      </c>
      <c r="I91" s="3" t="s">
        <v>370</v>
      </c>
    </row>
    <row r="92" spans="1:9" x14ac:dyDescent="0.3">
      <c r="A92" s="2" t="s">
        <v>371</v>
      </c>
      <c r="B92" s="3" t="s">
        <v>38</v>
      </c>
      <c r="C92" s="3" t="s">
        <v>52</v>
      </c>
      <c r="D92" s="3" t="s">
        <v>12</v>
      </c>
      <c r="E92" s="3" t="s">
        <v>372</v>
      </c>
      <c r="F92" s="3" t="s">
        <v>12</v>
      </c>
      <c r="G92" s="3" t="s">
        <v>12</v>
      </c>
      <c r="H92" s="3" t="s">
        <v>12</v>
      </c>
      <c r="I92" s="3" t="s">
        <v>373</v>
      </c>
    </row>
    <row r="93" spans="1:9" x14ac:dyDescent="0.3">
      <c r="A93" s="2" t="s">
        <v>374</v>
      </c>
      <c r="B93" s="3" t="s">
        <v>12</v>
      </c>
      <c r="C93" s="3" t="s">
        <v>375</v>
      </c>
      <c r="D93" s="3" t="s">
        <v>12</v>
      </c>
      <c r="E93" s="3" t="s">
        <v>12</v>
      </c>
      <c r="F93" s="3" t="s">
        <v>376</v>
      </c>
      <c r="G93" s="3" t="s">
        <v>377</v>
      </c>
      <c r="H93" s="3" t="s">
        <v>12</v>
      </c>
      <c r="I93" s="3" t="s">
        <v>378</v>
      </c>
    </row>
    <row r="94" spans="1:9" x14ac:dyDescent="0.3">
      <c r="A94" s="2" t="s">
        <v>379</v>
      </c>
      <c r="B94" s="3" t="s">
        <v>380</v>
      </c>
      <c r="C94" s="3" t="s">
        <v>271</v>
      </c>
      <c r="D94" s="3" t="s">
        <v>12</v>
      </c>
      <c r="E94" s="3" t="s">
        <v>12</v>
      </c>
      <c r="F94" s="3" t="s">
        <v>12</v>
      </c>
      <c r="G94" s="3" t="s">
        <v>12</v>
      </c>
      <c r="H94" s="3" t="s">
        <v>12</v>
      </c>
      <c r="I94" s="3" t="s">
        <v>207</v>
      </c>
    </row>
    <row r="95" spans="1:9" x14ac:dyDescent="0.3">
      <c r="A95" s="2" t="s">
        <v>381</v>
      </c>
      <c r="B95" s="3" t="s">
        <v>351</v>
      </c>
      <c r="C95" s="3" t="s">
        <v>382</v>
      </c>
      <c r="D95" s="3" t="s">
        <v>12</v>
      </c>
      <c r="E95" s="3" t="s">
        <v>12</v>
      </c>
      <c r="F95" s="3" t="s">
        <v>383</v>
      </c>
      <c r="G95" s="3" t="s">
        <v>12</v>
      </c>
      <c r="H95" s="3" t="s">
        <v>384</v>
      </c>
      <c r="I95" s="3" t="s">
        <v>385</v>
      </c>
    </row>
    <row r="96" spans="1:9" x14ac:dyDescent="0.3">
      <c r="A96" s="2" t="s">
        <v>386</v>
      </c>
      <c r="B96" s="3" t="s">
        <v>24</v>
      </c>
      <c r="C96" s="3" t="s">
        <v>387</v>
      </c>
      <c r="D96" s="3" t="s">
        <v>12</v>
      </c>
      <c r="E96" s="3" t="s">
        <v>12</v>
      </c>
      <c r="F96" s="3" t="s">
        <v>388</v>
      </c>
      <c r="G96" s="3" t="s">
        <v>12</v>
      </c>
      <c r="H96" s="3" t="s">
        <v>389</v>
      </c>
      <c r="I96" s="3" t="s">
        <v>390</v>
      </c>
    </row>
    <row r="97" spans="1:9" x14ac:dyDescent="0.3">
      <c r="A97" s="2" t="s">
        <v>391</v>
      </c>
      <c r="B97" s="3" t="s">
        <v>392</v>
      </c>
      <c r="C97" s="3" t="s">
        <v>393</v>
      </c>
      <c r="D97" s="3" t="s">
        <v>12</v>
      </c>
      <c r="E97" s="3" t="s">
        <v>12</v>
      </c>
      <c r="F97" s="3" t="s">
        <v>12</v>
      </c>
      <c r="G97" s="3" t="s">
        <v>394</v>
      </c>
      <c r="H97" s="3" t="s">
        <v>12</v>
      </c>
      <c r="I97" s="3" t="s">
        <v>395</v>
      </c>
    </row>
    <row r="98" spans="1:9" x14ac:dyDescent="0.3">
      <c r="A98" s="2" t="s">
        <v>396</v>
      </c>
      <c r="B98" s="3" t="s">
        <v>202</v>
      </c>
      <c r="C98" s="3" t="s">
        <v>397</v>
      </c>
      <c r="D98" s="3" t="s">
        <v>12</v>
      </c>
      <c r="E98" s="3" t="s">
        <v>12</v>
      </c>
      <c r="F98" s="3" t="s">
        <v>12</v>
      </c>
      <c r="G98" s="3" t="s">
        <v>12</v>
      </c>
      <c r="H98" s="3" t="s">
        <v>398</v>
      </c>
      <c r="I98" s="3" t="s">
        <v>399</v>
      </c>
    </row>
    <row r="99" spans="1:9" x14ac:dyDescent="0.3">
      <c r="A99" s="2" t="s">
        <v>400</v>
      </c>
      <c r="B99" s="3" t="s">
        <v>401</v>
      </c>
      <c r="C99" s="3" t="s">
        <v>402</v>
      </c>
      <c r="D99" s="3" t="s">
        <v>12</v>
      </c>
      <c r="E99" s="3" t="s">
        <v>403</v>
      </c>
      <c r="F99" s="3" t="s">
        <v>12</v>
      </c>
      <c r="G99" s="3" t="s">
        <v>12</v>
      </c>
      <c r="H99" s="3" t="s">
        <v>12</v>
      </c>
      <c r="I99" s="3" t="s">
        <v>404</v>
      </c>
    </row>
    <row r="100" spans="1:9" x14ac:dyDescent="0.3">
      <c r="A100" s="2" t="s">
        <v>405</v>
      </c>
      <c r="B100" s="3" t="s">
        <v>232</v>
      </c>
      <c r="C100" s="3" t="s">
        <v>240</v>
      </c>
      <c r="D100" s="3" t="s">
        <v>12</v>
      </c>
      <c r="E100" s="3" t="s">
        <v>12</v>
      </c>
      <c r="F100" s="3" t="s">
        <v>12</v>
      </c>
      <c r="G100" s="3" t="s">
        <v>12</v>
      </c>
      <c r="H100" s="3" t="s">
        <v>12</v>
      </c>
      <c r="I100" s="3" t="s">
        <v>406</v>
      </c>
    </row>
    <row r="101" spans="1:9" x14ac:dyDescent="0.3">
      <c r="A101" s="2" t="s">
        <v>407</v>
      </c>
      <c r="B101" s="3" t="s">
        <v>408</v>
      </c>
      <c r="C101" s="3" t="s">
        <v>409</v>
      </c>
      <c r="D101" s="3" t="s">
        <v>12</v>
      </c>
      <c r="E101" s="3" t="s">
        <v>12</v>
      </c>
      <c r="F101" s="3" t="s">
        <v>12</v>
      </c>
      <c r="G101" s="3" t="s">
        <v>12</v>
      </c>
      <c r="H101" s="3" t="s">
        <v>12</v>
      </c>
      <c r="I101" s="3" t="s">
        <v>207</v>
      </c>
    </row>
    <row r="102" spans="1:9" x14ac:dyDescent="0.3">
      <c r="A102" s="2" t="s">
        <v>410</v>
      </c>
      <c r="B102" s="3" t="s">
        <v>411</v>
      </c>
      <c r="C102" s="3" t="s">
        <v>412</v>
      </c>
      <c r="D102" s="3" t="s">
        <v>12</v>
      </c>
      <c r="E102" s="3" t="s">
        <v>413</v>
      </c>
      <c r="F102" s="3" t="s">
        <v>12</v>
      </c>
      <c r="G102" s="3" t="s">
        <v>12</v>
      </c>
      <c r="H102" s="3" t="s">
        <v>414</v>
      </c>
      <c r="I102" s="3" t="s">
        <v>41</v>
      </c>
    </row>
    <row r="103" spans="1:9" x14ac:dyDescent="0.3">
      <c r="A103" s="2" t="s">
        <v>415</v>
      </c>
      <c r="B103" s="3" t="s">
        <v>125</v>
      </c>
      <c r="C103" s="3" t="s">
        <v>393</v>
      </c>
      <c r="D103" s="3" t="s">
        <v>12</v>
      </c>
      <c r="E103" s="3" t="s">
        <v>12</v>
      </c>
      <c r="F103" s="3" t="s">
        <v>12</v>
      </c>
      <c r="G103" s="3" t="s">
        <v>12</v>
      </c>
      <c r="H103" s="3" t="s">
        <v>416</v>
      </c>
      <c r="I103" s="3" t="s">
        <v>417</v>
      </c>
    </row>
    <row r="104" spans="1:9" x14ac:dyDescent="0.3">
      <c r="A104" s="2" t="s">
        <v>418</v>
      </c>
      <c r="B104" s="3" t="s">
        <v>419</v>
      </c>
      <c r="C104" s="3" t="s">
        <v>420</v>
      </c>
      <c r="D104" s="3" t="s">
        <v>12</v>
      </c>
      <c r="E104" s="3" t="s">
        <v>12</v>
      </c>
      <c r="F104" s="3" t="s">
        <v>12</v>
      </c>
      <c r="G104" s="3" t="s">
        <v>12</v>
      </c>
      <c r="H104" s="3" t="s">
        <v>421</v>
      </c>
      <c r="I104" s="3" t="s">
        <v>422</v>
      </c>
    </row>
    <row r="105" spans="1:9" x14ac:dyDescent="0.3">
      <c r="A105" s="2" t="s">
        <v>423</v>
      </c>
      <c r="B105" s="3" t="s">
        <v>424</v>
      </c>
      <c r="C105" s="3" t="s">
        <v>109</v>
      </c>
      <c r="D105" s="3" t="s">
        <v>425</v>
      </c>
      <c r="E105" s="3" t="s">
        <v>12</v>
      </c>
      <c r="F105" s="3" t="s">
        <v>426</v>
      </c>
      <c r="G105" s="3" t="s">
        <v>12</v>
      </c>
      <c r="H105" s="3" t="s">
        <v>427</v>
      </c>
      <c r="I105" s="3" t="s">
        <v>428</v>
      </c>
    </row>
    <row r="106" spans="1:9" x14ac:dyDescent="0.3">
      <c r="A106" s="2" t="s">
        <v>429</v>
      </c>
      <c r="B106" s="3" t="s">
        <v>430</v>
      </c>
      <c r="C106" s="3" t="s">
        <v>431</v>
      </c>
      <c r="D106" s="3" t="s">
        <v>12</v>
      </c>
      <c r="E106" s="3" t="s">
        <v>12</v>
      </c>
      <c r="F106" s="3" t="s">
        <v>12</v>
      </c>
      <c r="G106" s="3" t="s">
        <v>12</v>
      </c>
      <c r="H106" s="3" t="s">
        <v>12</v>
      </c>
      <c r="I106" s="3" t="s">
        <v>432</v>
      </c>
    </row>
    <row r="107" spans="1:9" x14ac:dyDescent="0.3">
      <c r="A107" s="2" t="s">
        <v>433</v>
      </c>
      <c r="B107" s="3" t="s">
        <v>225</v>
      </c>
      <c r="C107" s="3" t="s">
        <v>434</v>
      </c>
      <c r="D107" s="3" t="s">
        <v>12</v>
      </c>
      <c r="E107" s="3" t="s">
        <v>12</v>
      </c>
      <c r="F107" s="3" t="s">
        <v>12</v>
      </c>
      <c r="G107" s="3" t="s">
        <v>12</v>
      </c>
      <c r="H107" s="3" t="s">
        <v>435</v>
      </c>
      <c r="I107" s="3" t="s">
        <v>436</v>
      </c>
    </row>
    <row r="108" spans="1:9" x14ac:dyDescent="0.3">
      <c r="A108" s="2" t="s">
        <v>437</v>
      </c>
      <c r="B108" s="3" t="s">
        <v>174</v>
      </c>
      <c r="C108" s="3" t="s">
        <v>151</v>
      </c>
      <c r="D108" s="3" t="s">
        <v>438</v>
      </c>
      <c r="E108" s="3" t="s">
        <v>12</v>
      </c>
      <c r="F108" s="3" t="s">
        <v>12</v>
      </c>
      <c r="G108" s="3" t="s">
        <v>12</v>
      </c>
      <c r="H108" s="3" t="s">
        <v>12</v>
      </c>
      <c r="I108" s="3" t="s">
        <v>439</v>
      </c>
    </row>
    <row r="109" spans="1:9" x14ac:dyDescent="0.3">
      <c r="A109" s="2" t="s">
        <v>440</v>
      </c>
      <c r="B109" s="3" t="s">
        <v>441</v>
      </c>
      <c r="C109" s="3" t="s">
        <v>442</v>
      </c>
      <c r="D109" s="3" t="s">
        <v>12</v>
      </c>
      <c r="E109" s="3" t="s">
        <v>12</v>
      </c>
      <c r="F109" s="3" t="s">
        <v>12</v>
      </c>
      <c r="G109" s="3" t="s">
        <v>12</v>
      </c>
      <c r="H109" s="3" t="s">
        <v>12</v>
      </c>
      <c r="I109" s="3" t="s">
        <v>443</v>
      </c>
    </row>
    <row r="110" spans="1:9" x14ac:dyDescent="0.3">
      <c r="A110" s="2" t="s">
        <v>444</v>
      </c>
      <c r="B110" s="3" t="s">
        <v>82</v>
      </c>
      <c r="C110" s="3" t="s">
        <v>126</v>
      </c>
      <c r="D110" s="3" t="s">
        <v>12</v>
      </c>
      <c r="E110" s="3" t="s">
        <v>12</v>
      </c>
      <c r="F110" s="3" t="s">
        <v>12</v>
      </c>
      <c r="G110" s="3" t="s">
        <v>12</v>
      </c>
      <c r="H110" s="3" t="s">
        <v>12</v>
      </c>
      <c r="I110" s="3" t="s">
        <v>445</v>
      </c>
    </row>
    <row r="111" spans="1:9" x14ac:dyDescent="0.3">
      <c r="A111" s="2" t="s">
        <v>446</v>
      </c>
      <c r="B111" s="3" t="s">
        <v>447</v>
      </c>
      <c r="C111" s="3" t="s">
        <v>448</v>
      </c>
      <c r="D111" s="3" t="s">
        <v>12</v>
      </c>
      <c r="E111" s="3" t="s">
        <v>12</v>
      </c>
      <c r="F111" s="3" t="s">
        <v>12</v>
      </c>
      <c r="G111" s="3" t="s">
        <v>12</v>
      </c>
      <c r="H111" s="3" t="s">
        <v>12</v>
      </c>
      <c r="I111" s="3" t="s">
        <v>449</v>
      </c>
    </row>
    <row r="112" spans="1:9" x14ac:dyDescent="0.3">
      <c r="A112" s="2" t="s">
        <v>450</v>
      </c>
      <c r="B112" s="3" t="s">
        <v>19</v>
      </c>
      <c r="C112" s="3" t="s">
        <v>451</v>
      </c>
      <c r="D112" s="3" t="s">
        <v>12</v>
      </c>
      <c r="E112" s="3" t="s">
        <v>12</v>
      </c>
      <c r="F112" s="3" t="s">
        <v>12</v>
      </c>
      <c r="G112" s="3" t="s">
        <v>12</v>
      </c>
      <c r="H112" s="3" t="s">
        <v>452</v>
      </c>
      <c r="I112" s="3" t="s">
        <v>453</v>
      </c>
    </row>
    <row r="113" spans="1:9" x14ac:dyDescent="0.3">
      <c r="A113" s="2" t="s">
        <v>454</v>
      </c>
      <c r="B113" s="3" t="s">
        <v>455</v>
      </c>
      <c r="C113" s="3" t="s">
        <v>29</v>
      </c>
      <c r="D113" s="3" t="s">
        <v>12</v>
      </c>
      <c r="E113" s="3" t="s">
        <v>12</v>
      </c>
      <c r="F113" s="3" t="s">
        <v>12</v>
      </c>
      <c r="G113" s="3" t="s">
        <v>12</v>
      </c>
      <c r="H113" s="3" t="s">
        <v>12</v>
      </c>
      <c r="I113" s="3" t="s">
        <v>456</v>
      </c>
    </row>
    <row r="114" spans="1:9" x14ac:dyDescent="0.3">
      <c r="A114" s="2" t="s">
        <v>457</v>
      </c>
      <c r="B114" s="3" t="s">
        <v>458</v>
      </c>
      <c r="C114" s="3" t="s">
        <v>459</v>
      </c>
      <c r="D114" s="3" t="s">
        <v>12</v>
      </c>
      <c r="E114" s="3" t="s">
        <v>12</v>
      </c>
      <c r="F114" s="3" t="s">
        <v>12</v>
      </c>
      <c r="G114" s="3" t="s">
        <v>12</v>
      </c>
      <c r="H114" s="3" t="s">
        <v>12</v>
      </c>
      <c r="I114" s="3" t="s">
        <v>460</v>
      </c>
    </row>
    <row r="115" spans="1:9" x14ac:dyDescent="0.3">
      <c r="A115" s="2" t="s">
        <v>461</v>
      </c>
      <c r="B115" s="3" t="s">
        <v>361</v>
      </c>
      <c r="C115" s="3" t="s">
        <v>264</v>
      </c>
      <c r="D115" s="3" t="s">
        <v>12</v>
      </c>
      <c r="E115" s="3" t="s">
        <v>12</v>
      </c>
      <c r="F115" s="3" t="s">
        <v>12</v>
      </c>
      <c r="G115" s="3" t="s">
        <v>376</v>
      </c>
      <c r="H115" s="3" t="s">
        <v>462</v>
      </c>
      <c r="I115" s="3" t="s">
        <v>463</v>
      </c>
    </row>
    <row r="116" spans="1:9" x14ac:dyDescent="0.3">
      <c r="A116" s="2" t="s">
        <v>464</v>
      </c>
      <c r="B116" s="3" t="s">
        <v>202</v>
      </c>
      <c r="C116" s="3" t="s">
        <v>271</v>
      </c>
      <c r="D116" s="3" t="s">
        <v>12</v>
      </c>
      <c r="E116" s="3" t="s">
        <v>12</v>
      </c>
      <c r="F116" s="3" t="s">
        <v>12</v>
      </c>
      <c r="G116" s="3" t="s">
        <v>12</v>
      </c>
      <c r="H116" s="3" t="s">
        <v>12</v>
      </c>
      <c r="I116" s="3" t="s">
        <v>465</v>
      </c>
    </row>
    <row r="117" spans="1:9" x14ac:dyDescent="0.3">
      <c r="A117" s="2" t="s">
        <v>466</v>
      </c>
      <c r="B117" s="3" t="s">
        <v>467</v>
      </c>
      <c r="C117" s="3" t="s">
        <v>338</v>
      </c>
      <c r="D117" s="3" t="s">
        <v>12</v>
      </c>
      <c r="E117" s="3" t="s">
        <v>12</v>
      </c>
      <c r="F117" s="3" t="s">
        <v>12</v>
      </c>
      <c r="G117" s="3" t="s">
        <v>12</v>
      </c>
      <c r="H117" s="3" t="s">
        <v>12</v>
      </c>
      <c r="I117" s="3" t="s">
        <v>26</v>
      </c>
    </row>
    <row r="118" spans="1:9" x14ac:dyDescent="0.3">
      <c r="A118" s="2" t="s">
        <v>468</v>
      </c>
      <c r="B118" s="3" t="s">
        <v>469</v>
      </c>
      <c r="C118" s="3" t="s">
        <v>470</v>
      </c>
      <c r="D118" s="3" t="s">
        <v>12</v>
      </c>
      <c r="E118" s="3" t="s">
        <v>12</v>
      </c>
      <c r="F118" s="3" t="s">
        <v>12</v>
      </c>
      <c r="G118" s="3" t="s">
        <v>12</v>
      </c>
      <c r="H118" s="3" t="s">
        <v>12</v>
      </c>
      <c r="I118" s="3" t="s">
        <v>471</v>
      </c>
    </row>
    <row r="119" spans="1:9" x14ac:dyDescent="0.3">
      <c r="A119" s="2" t="s">
        <v>472</v>
      </c>
      <c r="B119" s="3" t="s">
        <v>473</v>
      </c>
      <c r="C119" s="3" t="s">
        <v>271</v>
      </c>
      <c r="D119" s="3" t="s">
        <v>12</v>
      </c>
      <c r="E119" s="3" t="s">
        <v>12</v>
      </c>
      <c r="F119" s="3" t="s">
        <v>12</v>
      </c>
      <c r="G119" s="3" t="s">
        <v>12</v>
      </c>
      <c r="H119" s="3" t="s">
        <v>474</v>
      </c>
      <c r="I119" s="3" t="s">
        <v>475</v>
      </c>
    </row>
    <row r="120" spans="1:9" x14ac:dyDescent="0.3">
      <c r="A120" s="2" t="s">
        <v>476</v>
      </c>
      <c r="B120" s="3" t="s">
        <v>477</v>
      </c>
      <c r="C120" s="3" t="s">
        <v>478</v>
      </c>
      <c r="D120" s="3" t="s">
        <v>12</v>
      </c>
      <c r="E120" s="3" t="s">
        <v>12</v>
      </c>
      <c r="F120" s="3" t="s">
        <v>12</v>
      </c>
      <c r="G120" s="3" t="s">
        <v>12</v>
      </c>
      <c r="H120" s="3" t="s">
        <v>479</v>
      </c>
      <c r="I120" s="3" t="s">
        <v>480</v>
      </c>
    </row>
    <row r="121" spans="1:9" x14ac:dyDescent="0.3">
      <c r="A121" s="2" t="s">
        <v>481</v>
      </c>
      <c r="B121" s="3" t="s">
        <v>482</v>
      </c>
      <c r="C121" s="3" t="s">
        <v>155</v>
      </c>
      <c r="D121" s="3" t="s">
        <v>12</v>
      </c>
      <c r="E121" s="3" t="s">
        <v>12</v>
      </c>
      <c r="F121" s="3" t="s">
        <v>12</v>
      </c>
      <c r="G121" s="3" t="s">
        <v>12</v>
      </c>
      <c r="H121" s="3" t="s">
        <v>12</v>
      </c>
      <c r="I121" s="3" t="s">
        <v>483</v>
      </c>
    </row>
    <row r="122" spans="1:9" x14ac:dyDescent="0.3">
      <c r="A122" s="2" t="s">
        <v>484</v>
      </c>
      <c r="B122" s="3" t="s">
        <v>346</v>
      </c>
      <c r="C122" s="3" t="s">
        <v>485</v>
      </c>
      <c r="D122" s="3" t="s">
        <v>12</v>
      </c>
      <c r="E122" s="3" t="s">
        <v>12</v>
      </c>
      <c r="F122" s="3" t="s">
        <v>486</v>
      </c>
      <c r="G122" s="3" t="s">
        <v>12</v>
      </c>
      <c r="H122" s="3" t="s">
        <v>12</v>
      </c>
      <c r="I122" s="3" t="s">
        <v>487</v>
      </c>
    </row>
    <row r="123" spans="1:9" x14ac:dyDescent="0.3">
      <c r="A123" s="2" t="s">
        <v>488</v>
      </c>
      <c r="B123" s="3" t="s">
        <v>489</v>
      </c>
      <c r="C123" s="3" t="s">
        <v>490</v>
      </c>
      <c r="D123" s="3" t="s">
        <v>491</v>
      </c>
      <c r="E123" s="3" t="s">
        <v>12</v>
      </c>
      <c r="F123" s="3" t="s">
        <v>12</v>
      </c>
      <c r="G123" s="3" t="s">
        <v>12</v>
      </c>
      <c r="H123" s="3" t="s">
        <v>492</v>
      </c>
      <c r="I123" s="3" t="s">
        <v>493</v>
      </c>
    </row>
    <row r="124" spans="1:9" x14ac:dyDescent="0.3">
      <c r="A124" s="2" t="s">
        <v>494</v>
      </c>
      <c r="B124" s="3" t="s">
        <v>489</v>
      </c>
      <c r="C124" s="3" t="s">
        <v>130</v>
      </c>
      <c r="D124" s="3" t="s">
        <v>12</v>
      </c>
      <c r="E124" s="3" t="s">
        <v>12</v>
      </c>
      <c r="F124" s="3" t="s">
        <v>12</v>
      </c>
      <c r="G124" s="3" t="s">
        <v>12</v>
      </c>
      <c r="H124" s="3" t="s">
        <v>12</v>
      </c>
      <c r="I124" s="3" t="s">
        <v>17</v>
      </c>
    </row>
    <row r="125" spans="1:9" x14ac:dyDescent="0.3">
      <c r="A125" s="2" t="s">
        <v>495</v>
      </c>
      <c r="B125" s="3" t="s">
        <v>496</v>
      </c>
      <c r="C125" s="3" t="s">
        <v>78</v>
      </c>
      <c r="D125" s="3" t="s">
        <v>12</v>
      </c>
      <c r="E125" s="3" t="s">
        <v>12</v>
      </c>
      <c r="F125" s="3" t="s">
        <v>12</v>
      </c>
      <c r="G125" s="3" t="s">
        <v>12</v>
      </c>
      <c r="H125" s="3" t="s">
        <v>12</v>
      </c>
      <c r="I125" s="3" t="s">
        <v>497</v>
      </c>
    </row>
    <row r="126" spans="1:9" x14ac:dyDescent="0.3">
      <c r="A126" s="2" t="s">
        <v>498</v>
      </c>
      <c r="B126" s="3" t="s">
        <v>499</v>
      </c>
      <c r="C126" s="3" t="s">
        <v>500</v>
      </c>
      <c r="D126" s="3" t="s">
        <v>12</v>
      </c>
      <c r="E126" s="3" t="s">
        <v>12</v>
      </c>
      <c r="F126" s="3" t="s">
        <v>12</v>
      </c>
      <c r="G126" s="3" t="s">
        <v>12</v>
      </c>
      <c r="H126" s="3" t="s">
        <v>126</v>
      </c>
      <c r="I126" s="3" t="s">
        <v>501</v>
      </c>
    </row>
    <row r="127" spans="1:9" x14ac:dyDescent="0.3">
      <c r="A127" s="2" t="s">
        <v>502</v>
      </c>
      <c r="B127" s="3" t="s">
        <v>503</v>
      </c>
      <c r="C127" s="3" t="s">
        <v>504</v>
      </c>
      <c r="D127" s="3" t="s">
        <v>12</v>
      </c>
      <c r="E127" s="3" t="s">
        <v>12</v>
      </c>
      <c r="F127" s="3" t="s">
        <v>505</v>
      </c>
      <c r="G127" s="3" t="s">
        <v>12</v>
      </c>
      <c r="H127" s="3" t="s">
        <v>12</v>
      </c>
      <c r="I127" s="3" t="s">
        <v>506</v>
      </c>
    </row>
    <row r="128" spans="1:9" x14ac:dyDescent="0.3">
      <c r="A128" s="2" t="s">
        <v>507</v>
      </c>
      <c r="B128" s="3" t="s">
        <v>489</v>
      </c>
      <c r="C128" s="3" t="s">
        <v>508</v>
      </c>
      <c r="D128" s="3" t="s">
        <v>12</v>
      </c>
      <c r="E128" s="3" t="s">
        <v>509</v>
      </c>
      <c r="F128" s="3" t="s">
        <v>12</v>
      </c>
      <c r="G128" s="3" t="s">
        <v>12</v>
      </c>
      <c r="H128" s="3" t="s">
        <v>12</v>
      </c>
      <c r="I128" s="3" t="s">
        <v>510</v>
      </c>
    </row>
    <row r="129" spans="1:9" x14ac:dyDescent="0.3">
      <c r="A129" s="2" t="s">
        <v>511</v>
      </c>
      <c r="B129" s="3" t="s">
        <v>162</v>
      </c>
      <c r="C129" s="3" t="s">
        <v>512</v>
      </c>
      <c r="D129" s="3" t="s">
        <v>12</v>
      </c>
      <c r="E129" s="3" t="s">
        <v>12</v>
      </c>
      <c r="F129" s="3" t="s">
        <v>12</v>
      </c>
      <c r="G129" s="3" t="s">
        <v>513</v>
      </c>
      <c r="H129" s="3" t="s">
        <v>12</v>
      </c>
      <c r="I129" s="3" t="s">
        <v>514</v>
      </c>
    </row>
    <row r="130" spans="1:9" x14ac:dyDescent="0.3">
      <c r="A130" s="2" t="s">
        <v>515</v>
      </c>
      <c r="B130" s="3" t="s">
        <v>118</v>
      </c>
      <c r="C130" s="3" t="s">
        <v>516</v>
      </c>
      <c r="D130" s="3" t="s">
        <v>12</v>
      </c>
      <c r="E130" s="3" t="s">
        <v>517</v>
      </c>
      <c r="F130" s="3" t="s">
        <v>518</v>
      </c>
      <c r="G130" s="3" t="s">
        <v>12</v>
      </c>
      <c r="H130" s="3" t="s">
        <v>12</v>
      </c>
      <c r="I130" s="3" t="s">
        <v>519</v>
      </c>
    </row>
    <row r="131" spans="1:9" x14ac:dyDescent="0.3">
      <c r="A131" s="2" t="s">
        <v>520</v>
      </c>
      <c r="B131" s="3" t="s">
        <v>19</v>
      </c>
      <c r="C131" s="3" t="s">
        <v>521</v>
      </c>
      <c r="D131" s="3" t="s">
        <v>12</v>
      </c>
      <c r="E131" s="3" t="s">
        <v>12</v>
      </c>
      <c r="F131" s="3" t="s">
        <v>12</v>
      </c>
      <c r="G131" s="3" t="s">
        <v>12</v>
      </c>
      <c r="H131" s="3" t="s">
        <v>12</v>
      </c>
      <c r="I131" s="3" t="s">
        <v>522</v>
      </c>
    </row>
    <row r="132" spans="1:9" x14ac:dyDescent="0.3">
      <c r="A132" s="2" t="s">
        <v>523</v>
      </c>
      <c r="B132" s="3" t="s">
        <v>168</v>
      </c>
      <c r="C132" s="3" t="s">
        <v>512</v>
      </c>
      <c r="D132" s="3" t="s">
        <v>12</v>
      </c>
      <c r="E132" s="3" t="s">
        <v>12</v>
      </c>
      <c r="F132" s="3" t="s">
        <v>12</v>
      </c>
      <c r="G132" s="3" t="s">
        <v>12</v>
      </c>
      <c r="H132" s="3" t="s">
        <v>524</v>
      </c>
      <c r="I132" s="3" t="s">
        <v>525</v>
      </c>
    </row>
    <row r="133" spans="1:9" x14ac:dyDescent="0.3">
      <c r="A133" s="2" t="s">
        <v>526</v>
      </c>
      <c r="B133" s="3" t="s">
        <v>59</v>
      </c>
      <c r="C133" s="3" t="s">
        <v>527</v>
      </c>
      <c r="D133" s="3" t="s">
        <v>12</v>
      </c>
      <c r="E133" s="3" t="s">
        <v>12</v>
      </c>
      <c r="F133" s="3" t="s">
        <v>12</v>
      </c>
      <c r="G133" s="3" t="s">
        <v>12</v>
      </c>
      <c r="H133" s="3" t="s">
        <v>528</v>
      </c>
      <c r="I133" s="3" t="s">
        <v>529</v>
      </c>
    </row>
    <row r="134" spans="1:9" x14ac:dyDescent="0.3">
      <c r="A134" s="2" t="s">
        <v>530</v>
      </c>
      <c r="B134" s="3" t="s">
        <v>531</v>
      </c>
      <c r="C134" s="3" t="s">
        <v>532</v>
      </c>
      <c r="D134" s="3" t="s">
        <v>12</v>
      </c>
      <c r="E134" s="3" t="s">
        <v>12</v>
      </c>
      <c r="F134" s="3" t="s">
        <v>12</v>
      </c>
      <c r="G134" s="3" t="s">
        <v>12</v>
      </c>
      <c r="H134" s="3" t="s">
        <v>12</v>
      </c>
      <c r="I134" s="3" t="s">
        <v>533</v>
      </c>
    </row>
    <row r="135" spans="1:9" x14ac:dyDescent="0.3">
      <c r="A135" s="2" t="s">
        <v>534</v>
      </c>
      <c r="B135" s="3" t="s">
        <v>535</v>
      </c>
      <c r="C135" s="3" t="s">
        <v>536</v>
      </c>
      <c r="D135" s="3" t="s">
        <v>376</v>
      </c>
      <c r="E135" s="3" t="s">
        <v>12</v>
      </c>
      <c r="F135" s="3" t="s">
        <v>12</v>
      </c>
      <c r="G135" s="3" t="s">
        <v>537</v>
      </c>
      <c r="H135" s="3" t="s">
        <v>538</v>
      </c>
      <c r="I135" s="3" t="s">
        <v>539</v>
      </c>
    </row>
    <row r="136" spans="1:9" x14ac:dyDescent="0.3">
      <c r="A136" s="2" t="s">
        <v>540</v>
      </c>
      <c r="B136" s="3" t="s">
        <v>541</v>
      </c>
      <c r="C136" s="3" t="s">
        <v>280</v>
      </c>
      <c r="D136" s="3" t="s">
        <v>542</v>
      </c>
      <c r="E136" s="3" t="s">
        <v>12</v>
      </c>
      <c r="F136" s="3" t="s">
        <v>12</v>
      </c>
      <c r="G136" s="3" t="s">
        <v>12</v>
      </c>
      <c r="H136" s="3" t="s">
        <v>12</v>
      </c>
      <c r="I136" s="3" t="s">
        <v>543</v>
      </c>
    </row>
    <row r="137" spans="1:9" x14ac:dyDescent="0.3">
      <c r="A137" s="2" t="s">
        <v>544</v>
      </c>
      <c r="B137" s="3" t="s">
        <v>545</v>
      </c>
      <c r="C137" s="3" t="s">
        <v>546</v>
      </c>
      <c r="D137" s="3" t="s">
        <v>12</v>
      </c>
      <c r="E137" s="3" t="s">
        <v>547</v>
      </c>
      <c r="F137" s="3" t="s">
        <v>12</v>
      </c>
      <c r="G137" s="3" t="s">
        <v>12</v>
      </c>
      <c r="H137" s="3" t="s">
        <v>12</v>
      </c>
      <c r="I137" s="3" t="s">
        <v>548</v>
      </c>
    </row>
    <row r="138" spans="1:9" x14ac:dyDescent="0.3">
      <c r="A138" s="2" t="s">
        <v>549</v>
      </c>
      <c r="B138" s="3" t="s">
        <v>550</v>
      </c>
      <c r="C138" s="3" t="s">
        <v>551</v>
      </c>
      <c r="D138" s="3" t="s">
        <v>12</v>
      </c>
      <c r="E138" s="3" t="s">
        <v>12</v>
      </c>
      <c r="F138" s="3" t="s">
        <v>12</v>
      </c>
      <c r="G138" s="3" t="s">
        <v>12</v>
      </c>
      <c r="H138" s="3" t="s">
        <v>12</v>
      </c>
      <c r="I138" s="3" t="s">
        <v>552</v>
      </c>
    </row>
    <row r="139" spans="1:9" x14ac:dyDescent="0.3">
      <c r="A139" s="2" t="s">
        <v>553</v>
      </c>
      <c r="B139" s="3" t="s">
        <v>12</v>
      </c>
      <c r="C139" s="3" t="s">
        <v>554</v>
      </c>
      <c r="D139" s="3" t="s">
        <v>12</v>
      </c>
      <c r="E139" s="3" t="s">
        <v>12</v>
      </c>
      <c r="F139" s="3" t="s">
        <v>555</v>
      </c>
      <c r="G139" s="3" t="s">
        <v>12</v>
      </c>
      <c r="H139" s="3" t="s">
        <v>12</v>
      </c>
      <c r="I139" s="3" t="s">
        <v>556</v>
      </c>
    </row>
    <row r="140" spans="1:9" x14ac:dyDescent="0.3">
      <c r="A140" s="2" t="s">
        <v>557</v>
      </c>
      <c r="B140" s="3" t="s">
        <v>232</v>
      </c>
      <c r="C140" s="3" t="s">
        <v>500</v>
      </c>
      <c r="D140" s="3" t="s">
        <v>558</v>
      </c>
      <c r="E140" s="3" t="s">
        <v>12</v>
      </c>
      <c r="F140" s="3" t="s">
        <v>12</v>
      </c>
      <c r="G140" s="3" t="s">
        <v>12</v>
      </c>
      <c r="H140" s="3" t="s">
        <v>12</v>
      </c>
      <c r="I140" s="3" t="s">
        <v>559</v>
      </c>
    </row>
    <row r="141" spans="1:9" x14ac:dyDescent="0.3">
      <c r="A141" s="2" t="s">
        <v>560</v>
      </c>
      <c r="B141" s="3" t="s">
        <v>129</v>
      </c>
      <c r="C141" s="3" t="s">
        <v>211</v>
      </c>
      <c r="D141" s="3" t="s">
        <v>12</v>
      </c>
      <c r="E141" s="3" t="s">
        <v>12</v>
      </c>
      <c r="F141" s="3" t="s">
        <v>12</v>
      </c>
      <c r="G141" s="3" t="s">
        <v>12</v>
      </c>
      <c r="H141" s="3" t="s">
        <v>12</v>
      </c>
      <c r="I141" s="3" t="s">
        <v>561</v>
      </c>
    </row>
    <row r="142" spans="1:9" x14ac:dyDescent="0.3">
      <c r="A142" s="2" t="s">
        <v>562</v>
      </c>
      <c r="B142" s="3" t="s">
        <v>563</v>
      </c>
      <c r="C142" s="3" t="s">
        <v>564</v>
      </c>
      <c r="D142" s="3" t="s">
        <v>12</v>
      </c>
      <c r="E142" s="3" t="s">
        <v>565</v>
      </c>
      <c r="F142" s="3" t="s">
        <v>566</v>
      </c>
      <c r="G142" s="3" t="s">
        <v>12</v>
      </c>
      <c r="H142" s="3" t="s">
        <v>12</v>
      </c>
      <c r="I142" s="3" t="s">
        <v>567</v>
      </c>
    </row>
    <row r="143" spans="1:9" x14ac:dyDescent="0.3">
      <c r="A143" s="2" t="s">
        <v>568</v>
      </c>
      <c r="B143" s="3" t="s">
        <v>569</v>
      </c>
      <c r="C143" s="3" t="s">
        <v>248</v>
      </c>
      <c r="D143" s="3" t="s">
        <v>12</v>
      </c>
      <c r="E143" s="3" t="s">
        <v>12</v>
      </c>
      <c r="F143" s="3" t="s">
        <v>12</v>
      </c>
      <c r="G143" s="3" t="s">
        <v>12</v>
      </c>
      <c r="H143" s="3" t="s">
        <v>12</v>
      </c>
      <c r="I143" s="3" t="s">
        <v>221</v>
      </c>
    </row>
    <row r="144" spans="1:9" x14ac:dyDescent="0.3">
      <c r="A144" s="2" t="s">
        <v>570</v>
      </c>
      <c r="B144" s="3" t="s">
        <v>571</v>
      </c>
      <c r="C144" s="3" t="s">
        <v>572</v>
      </c>
      <c r="D144" s="3" t="s">
        <v>12</v>
      </c>
      <c r="E144" s="3" t="s">
        <v>12</v>
      </c>
      <c r="F144" s="3" t="s">
        <v>12</v>
      </c>
      <c r="G144" s="3" t="s">
        <v>12</v>
      </c>
      <c r="H144" s="3" t="s">
        <v>573</v>
      </c>
      <c r="I144" s="3" t="s">
        <v>574</v>
      </c>
    </row>
    <row r="145" spans="1:9" x14ac:dyDescent="0.3">
      <c r="A145" s="2" t="s">
        <v>575</v>
      </c>
      <c r="B145" s="3" t="s">
        <v>174</v>
      </c>
      <c r="C145" s="3" t="s">
        <v>576</v>
      </c>
      <c r="D145" s="3" t="s">
        <v>12</v>
      </c>
      <c r="E145" s="3" t="s">
        <v>12</v>
      </c>
      <c r="F145" s="3" t="s">
        <v>12</v>
      </c>
      <c r="G145" s="3" t="s">
        <v>12</v>
      </c>
      <c r="H145" s="3" t="s">
        <v>12</v>
      </c>
      <c r="I145" s="3" t="s">
        <v>370</v>
      </c>
    </row>
    <row r="146" spans="1:9" x14ac:dyDescent="0.3">
      <c r="A146" s="2" t="s">
        <v>577</v>
      </c>
      <c r="B146" s="3" t="s">
        <v>108</v>
      </c>
      <c r="C146" s="3" t="s">
        <v>578</v>
      </c>
      <c r="D146" s="3" t="s">
        <v>12</v>
      </c>
      <c r="E146" s="3" t="s">
        <v>12</v>
      </c>
      <c r="F146" s="3" t="s">
        <v>12</v>
      </c>
      <c r="G146" s="3" t="s">
        <v>12</v>
      </c>
      <c r="H146" s="3" t="s">
        <v>12</v>
      </c>
      <c r="I146" s="3" t="s">
        <v>579</v>
      </c>
    </row>
    <row r="147" spans="1:9" x14ac:dyDescent="0.3">
      <c r="A147" s="2" t="s">
        <v>580</v>
      </c>
      <c r="B147" s="3" t="s">
        <v>581</v>
      </c>
      <c r="C147" s="3" t="s">
        <v>582</v>
      </c>
      <c r="D147" s="3" t="s">
        <v>12</v>
      </c>
      <c r="E147" s="3" t="s">
        <v>583</v>
      </c>
      <c r="F147" s="3" t="s">
        <v>12</v>
      </c>
      <c r="G147" s="3" t="s">
        <v>12</v>
      </c>
      <c r="H147" s="3" t="s">
        <v>584</v>
      </c>
      <c r="I147" s="3" t="s">
        <v>585</v>
      </c>
    </row>
    <row r="148" spans="1:9" x14ac:dyDescent="0.3">
      <c r="A148" s="2" t="s">
        <v>586</v>
      </c>
      <c r="B148" s="3" t="s">
        <v>587</v>
      </c>
      <c r="C148" s="3" t="s">
        <v>588</v>
      </c>
      <c r="D148" s="3" t="s">
        <v>12</v>
      </c>
      <c r="E148" s="3" t="s">
        <v>12</v>
      </c>
      <c r="F148" s="3" t="s">
        <v>12</v>
      </c>
      <c r="G148" s="3" t="s">
        <v>12</v>
      </c>
      <c r="H148" s="3" t="s">
        <v>12</v>
      </c>
      <c r="I148" s="3" t="s">
        <v>589</v>
      </c>
    </row>
    <row r="149" spans="1:9" x14ac:dyDescent="0.3">
      <c r="A149" s="2" t="s">
        <v>590</v>
      </c>
      <c r="B149" s="3" t="s">
        <v>12</v>
      </c>
      <c r="C149" s="3" t="s">
        <v>591</v>
      </c>
      <c r="D149" s="3" t="s">
        <v>12</v>
      </c>
      <c r="E149" s="3" t="s">
        <v>12</v>
      </c>
      <c r="F149" s="3" t="s">
        <v>12</v>
      </c>
      <c r="G149" s="3" t="s">
        <v>12</v>
      </c>
      <c r="H149" s="3" t="s">
        <v>12</v>
      </c>
      <c r="I149" s="3" t="s">
        <v>375</v>
      </c>
    </row>
    <row r="150" spans="1:9" x14ac:dyDescent="0.3">
      <c r="A150" s="2" t="s">
        <v>592</v>
      </c>
      <c r="B150" s="3" t="s">
        <v>593</v>
      </c>
      <c r="C150" s="3" t="s">
        <v>594</v>
      </c>
      <c r="D150" s="3" t="s">
        <v>595</v>
      </c>
      <c r="E150" s="3" t="s">
        <v>12</v>
      </c>
      <c r="F150" s="3" t="s">
        <v>12</v>
      </c>
      <c r="G150" s="3" t="s">
        <v>12</v>
      </c>
      <c r="H150" s="3" t="s">
        <v>12</v>
      </c>
      <c r="I150" s="3" t="s">
        <v>543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6DF5E-03A0-44EC-83C8-3546041A7629}">
  <sheetPr codeName="Sheet2"/>
  <dimension ref="A1:Q150"/>
  <sheetViews>
    <sheetView topLeftCell="D1" workbookViewId="0">
      <selection activeCell="C95" sqref="C95"/>
    </sheetView>
  </sheetViews>
  <sheetFormatPr defaultColWidth="28" defaultRowHeight="14.4" x14ac:dyDescent="0.3"/>
  <sheetData>
    <row r="1" spans="1:17" x14ac:dyDescent="0.3">
      <c r="A1" s="4" t="s">
        <v>0</v>
      </c>
      <c r="B1" s="4" t="s">
        <v>596</v>
      </c>
      <c r="C1" s="4" t="s">
        <v>597</v>
      </c>
      <c r="D1" s="4" t="s">
        <v>598</v>
      </c>
      <c r="E1" s="4" t="s">
        <v>599</v>
      </c>
      <c r="F1" s="4" t="s">
        <v>600</v>
      </c>
      <c r="G1" s="4" t="s">
        <v>601</v>
      </c>
      <c r="H1" s="4" t="s">
        <v>602</v>
      </c>
      <c r="I1" s="4" t="s">
        <v>603</v>
      </c>
      <c r="J1" s="4" t="s">
        <v>604</v>
      </c>
      <c r="K1" s="4" t="s">
        <v>605</v>
      </c>
      <c r="L1" s="4" t="s">
        <v>606</v>
      </c>
      <c r="M1" s="4" t="s">
        <v>607</v>
      </c>
      <c r="N1" s="4" t="s">
        <v>608</v>
      </c>
      <c r="O1" s="4" t="s">
        <v>609</v>
      </c>
      <c r="P1" s="4" t="s">
        <v>610</v>
      </c>
      <c r="Q1" s="4" t="s">
        <v>611</v>
      </c>
    </row>
    <row r="2" spans="1:17" x14ac:dyDescent="0.3">
      <c r="A2" s="2" t="s">
        <v>9</v>
      </c>
      <c r="B2" s="3" t="s">
        <v>612</v>
      </c>
      <c r="C2" s="3" t="s">
        <v>613</v>
      </c>
      <c r="D2" s="5">
        <v>98</v>
      </c>
      <c r="E2" s="6">
        <v>0.69541034616880604</v>
      </c>
      <c r="F2" s="6">
        <v>0.55697138822580095</v>
      </c>
      <c r="G2" s="6">
        <v>0.57848905624852898</v>
      </c>
      <c r="H2" s="6">
        <v>1.3448542514205001E-4</v>
      </c>
      <c r="I2" s="6">
        <v>0.25683354066503</v>
      </c>
      <c r="J2" s="6">
        <v>2.2492687355007899E-2</v>
      </c>
      <c r="K2" s="6">
        <v>0</v>
      </c>
      <c r="L2" s="6">
        <v>0.13858723060888301</v>
      </c>
      <c r="M2" s="6">
        <v>3.46299969740779E-3</v>
      </c>
      <c r="N2" s="5">
        <v>2</v>
      </c>
      <c r="O2" s="5">
        <v>3</v>
      </c>
      <c r="P2" s="5">
        <v>0</v>
      </c>
      <c r="Q2" s="5">
        <v>0</v>
      </c>
    </row>
    <row r="3" spans="1:17" x14ac:dyDescent="0.3">
      <c r="A3" s="2" t="s">
        <v>14</v>
      </c>
      <c r="B3" s="3" t="s">
        <v>614</v>
      </c>
      <c r="C3" s="3" t="s">
        <v>615</v>
      </c>
      <c r="D3" s="5">
        <v>23</v>
      </c>
      <c r="E3" s="6">
        <v>0.70127226463104297</v>
      </c>
      <c r="F3" s="6">
        <v>0.58027306967984904</v>
      </c>
      <c r="G3" s="6">
        <v>0.58625907990314796</v>
      </c>
      <c r="H3" s="6">
        <v>3.3629270917406502E-5</v>
      </c>
      <c r="I3" s="6">
        <v>0.25373284907183202</v>
      </c>
      <c r="J3" s="6">
        <v>1.6142050040355099E-2</v>
      </c>
      <c r="K3" s="6">
        <v>0</v>
      </c>
      <c r="L3" s="6">
        <v>0.14120930858219</v>
      </c>
      <c r="M3" s="6">
        <v>2.6230831315577101E-3</v>
      </c>
      <c r="N3" s="5">
        <v>2</v>
      </c>
      <c r="O3" s="5">
        <v>1</v>
      </c>
      <c r="P3" s="5">
        <v>0</v>
      </c>
      <c r="Q3" s="5">
        <v>0</v>
      </c>
    </row>
    <row r="4" spans="1:17" x14ac:dyDescent="0.3">
      <c r="A4" s="2" t="s">
        <v>18</v>
      </c>
      <c r="B4" s="3" t="s">
        <v>616</v>
      </c>
      <c r="C4" s="3" t="s">
        <v>617</v>
      </c>
      <c r="D4" s="5">
        <v>28</v>
      </c>
      <c r="E4" s="6">
        <v>0.67767853660439203</v>
      </c>
      <c r="F4" s="6">
        <v>0.51708756749505302</v>
      </c>
      <c r="G4" s="6">
        <v>0.54036288023610701</v>
      </c>
      <c r="H4" s="6">
        <v>1.9653217962907098E-2</v>
      </c>
      <c r="I4" s="6">
        <v>0.26454707046315901</v>
      </c>
      <c r="J4" s="6">
        <v>2.27051681926418E-2</v>
      </c>
      <c r="K4" s="6">
        <v>0</v>
      </c>
      <c r="L4" s="6">
        <v>0.14870711339168899</v>
      </c>
      <c r="M4" s="6">
        <v>4.0245497534963301E-3</v>
      </c>
      <c r="N4" s="5">
        <v>6</v>
      </c>
      <c r="O4" s="5">
        <v>3</v>
      </c>
      <c r="P4" s="5">
        <v>4</v>
      </c>
      <c r="Q4" s="5">
        <v>1</v>
      </c>
    </row>
    <row r="5" spans="1:17" x14ac:dyDescent="0.3">
      <c r="A5" s="2" t="s">
        <v>23</v>
      </c>
      <c r="B5" s="3" t="s">
        <v>618</v>
      </c>
      <c r="C5" s="3" t="s">
        <v>619</v>
      </c>
      <c r="D5" s="5">
        <v>29</v>
      </c>
      <c r="E5" s="6">
        <v>0.72067534163518499</v>
      </c>
      <c r="F5" s="6">
        <v>0.47720778337188702</v>
      </c>
      <c r="G5" s="6">
        <v>0.49802694244114798</v>
      </c>
      <c r="H5" s="6">
        <v>6.8036467546604999E-5</v>
      </c>
      <c r="I5" s="6">
        <v>0.18356238944073999</v>
      </c>
      <c r="J5" s="6">
        <v>2.7554769356374999E-2</v>
      </c>
      <c r="K5" s="6">
        <v>0</v>
      </c>
      <c r="L5" s="6">
        <v>0.28378010613688898</v>
      </c>
      <c r="M5" s="6">
        <v>7.0077561573003103E-3</v>
      </c>
      <c r="N5" s="5">
        <v>1</v>
      </c>
      <c r="O5" s="5">
        <v>2</v>
      </c>
      <c r="P5" s="5">
        <v>0</v>
      </c>
      <c r="Q5" s="5">
        <v>0</v>
      </c>
    </row>
    <row r="6" spans="1:17" x14ac:dyDescent="0.3">
      <c r="A6" s="2" t="s">
        <v>28</v>
      </c>
      <c r="B6" s="3" t="s">
        <v>620</v>
      </c>
      <c r="C6" s="3" t="s">
        <v>621</v>
      </c>
      <c r="D6" s="5">
        <v>93</v>
      </c>
      <c r="E6" s="6">
        <v>0.77990368345698302</v>
      </c>
      <c r="F6" s="6">
        <v>0.43288831738587802</v>
      </c>
      <c r="G6" s="6">
        <v>0.43496842025642002</v>
      </c>
      <c r="H6" s="6">
        <v>3.7820052191672E-4</v>
      </c>
      <c r="I6" s="6">
        <v>0.113649256835974</v>
      </c>
      <c r="J6" s="6">
        <v>1.7888884686660899E-2</v>
      </c>
      <c r="K6" s="6">
        <v>0</v>
      </c>
      <c r="L6" s="6">
        <v>0.419726939223176</v>
      </c>
      <c r="M6" s="6">
        <v>1.3388298475851899E-2</v>
      </c>
      <c r="N6" s="5">
        <v>0</v>
      </c>
      <c r="O6" s="5">
        <v>4</v>
      </c>
      <c r="P6" s="5">
        <v>0</v>
      </c>
      <c r="Q6" s="5">
        <v>0</v>
      </c>
    </row>
    <row r="7" spans="1:17" x14ac:dyDescent="0.3">
      <c r="A7" s="2" t="s">
        <v>33</v>
      </c>
      <c r="B7" s="3" t="s">
        <v>622</v>
      </c>
      <c r="C7" s="3" t="s">
        <v>623</v>
      </c>
      <c r="D7" s="5">
        <v>92</v>
      </c>
      <c r="E7" s="6">
        <v>0.77595979664582504</v>
      </c>
      <c r="F7" s="6">
        <v>0.65495030262646503</v>
      </c>
      <c r="G7" s="6">
        <v>0.65761563662613098</v>
      </c>
      <c r="H7" s="6">
        <v>8.5512799155977592E-3</v>
      </c>
      <c r="I7" s="6">
        <v>0.16269642956299599</v>
      </c>
      <c r="J7" s="6">
        <v>7.1186628907768307E-2</v>
      </c>
      <c r="K7" s="6">
        <v>0</v>
      </c>
      <c r="L7" s="6">
        <v>9.0343717030373694E-2</v>
      </c>
      <c r="M7" s="6">
        <v>9.6063079571325396E-3</v>
      </c>
      <c r="N7" s="5">
        <v>2</v>
      </c>
      <c r="O7" s="5">
        <v>8</v>
      </c>
      <c r="P7" s="5">
        <v>2</v>
      </c>
      <c r="Q7" s="5">
        <v>0</v>
      </c>
    </row>
    <row r="8" spans="1:17" x14ac:dyDescent="0.3">
      <c r="A8" s="2" t="s">
        <v>37</v>
      </c>
      <c r="B8" s="3" t="s">
        <v>624</v>
      </c>
      <c r="C8" s="3" t="s">
        <v>625</v>
      </c>
      <c r="D8" s="5">
        <v>26</v>
      </c>
      <c r="E8" s="6">
        <v>0.75430219834875201</v>
      </c>
      <c r="F8" s="6">
        <v>0.49476474931203401</v>
      </c>
      <c r="G8" s="6">
        <v>0.50073830458419999</v>
      </c>
      <c r="H8" s="6">
        <v>0</v>
      </c>
      <c r="I8" s="6">
        <v>0.150547016578294</v>
      </c>
      <c r="J8" s="6">
        <v>8.1213504262031E-3</v>
      </c>
      <c r="K8" s="6">
        <v>0</v>
      </c>
      <c r="L8" s="6">
        <v>0.32559232163232399</v>
      </c>
      <c r="M8" s="6">
        <v>1.5001006778978501E-2</v>
      </c>
      <c r="N8" s="5">
        <v>0</v>
      </c>
      <c r="O8" s="5">
        <v>0</v>
      </c>
      <c r="P8" s="5">
        <v>0</v>
      </c>
      <c r="Q8" s="5">
        <v>0</v>
      </c>
    </row>
    <row r="9" spans="1:17" x14ac:dyDescent="0.3">
      <c r="A9" s="2" t="s">
        <v>42</v>
      </c>
      <c r="B9" s="3" t="s">
        <v>626</v>
      </c>
      <c r="C9" s="3" t="s">
        <v>627</v>
      </c>
      <c r="D9" s="5">
        <v>90</v>
      </c>
      <c r="E9" s="6">
        <v>0.72351208821313595</v>
      </c>
      <c r="F9" s="6">
        <v>0.55128627474469205</v>
      </c>
      <c r="G9" s="6">
        <v>0.58183342816926698</v>
      </c>
      <c r="H9" s="6">
        <v>8.6849749932616602E-3</v>
      </c>
      <c r="I9" s="6">
        <v>0.22793567128867101</v>
      </c>
      <c r="J9" s="6">
        <v>4.2226947381030798E-2</v>
      </c>
      <c r="K9" s="6">
        <v>0</v>
      </c>
      <c r="L9" s="6">
        <v>0.131472552484202</v>
      </c>
      <c r="M9" s="6">
        <v>7.8464256835674307E-3</v>
      </c>
      <c r="N9" s="5">
        <v>0</v>
      </c>
      <c r="O9" s="5">
        <v>8</v>
      </c>
      <c r="P9" s="5">
        <v>3</v>
      </c>
      <c r="Q9" s="5">
        <v>1</v>
      </c>
    </row>
    <row r="10" spans="1:17" x14ac:dyDescent="0.3">
      <c r="A10" s="2" t="s">
        <v>46</v>
      </c>
      <c r="B10" s="3" t="s">
        <v>628</v>
      </c>
      <c r="C10" s="3" t="s">
        <v>629</v>
      </c>
      <c r="D10" s="5">
        <v>89</v>
      </c>
      <c r="E10" s="6">
        <v>0.68246869409660105</v>
      </c>
      <c r="F10" s="6">
        <v>0.55206432867085597</v>
      </c>
      <c r="G10" s="6">
        <v>0.57530914250962895</v>
      </c>
      <c r="H10" s="6">
        <v>7.0950739914859098E-4</v>
      </c>
      <c r="I10" s="6">
        <v>0.26559226974795602</v>
      </c>
      <c r="J10" s="6">
        <v>1.68930333130617E-2</v>
      </c>
      <c r="K10" s="6">
        <v>0</v>
      </c>
      <c r="L10" s="6">
        <v>0.135110480437867</v>
      </c>
      <c r="M10" s="6">
        <v>6.3855665923373203E-3</v>
      </c>
      <c r="N10" s="5">
        <v>4</v>
      </c>
      <c r="O10" s="5">
        <v>0</v>
      </c>
      <c r="P10" s="5">
        <v>0</v>
      </c>
      <c r="Q10" s="5">
        <v>0</v>
      </c>
    </row>
    <row r="11" spans="1:17" x14ac:dyDescent="0.3">
      <c r="A11" s="2" t="s">
        <v>50</v>
      </c>
      <c r="B11" s="3" t="s">
        <v>630</v>
      </c>
      <c r="C11" s="3" t="s">
        <v>631</v>
      </c>
      <c r="D11" s="5">
        <v>54</v>
      </c>
      <c r="E11" s="6">
        <v>0.69192681134192102</v>
      </c>
      <c r="F11" s="6">
        <v>0.56868945774108703</v>
      </c>
      <c r="G11" s="6">
        <v>0.58520022635731195</v>
      </c>
      <c r="H11" s="6">
        <v>1.6643919976032801E-4</v>
      </c>
      <c r="I11" s="6">
        <v>0.26120968010385798</v>
      </c>
      <c r="J11" s="6">
        <v>1.0052927665523801E-2</v>
      </c>
      <c r="K11" s="6">
        <v>0</v>
      </c>
      <c r="L11" s="6">
        <v>0.13970906427881899</v>
      </c>
      <c r="M11" s="6">
        <v>3.6616623947272101E-3</v>
      </c>
      <c r="N11" s="5">
        <v>2</v>
      </c>
      <c r="O11" s="5">
        <v>0</v>
      </c>
      <c r="P11" s="5">
        <v>0</v>
      </c>
      <c r="Q11" s="5">
        <v>0</v>
      </c>
    </row>
    <row r="12" spans="1:17" x14ac:dyDescent="0.3">
      <c r="A12" s="2" t="s">
        <v>54</v>
      </c>
      <c r="B12" s="3" t="s">
        <v>632</v>
      </c>
      <c r="C12" s="3" t="s">
        <v>633</v>
      </c>
      <c r="D12" s="5">
        <v>87</v>
      </c>
      <c r="E12" s="6">
        <v>0.70101625212542995</v>
      </c>
      <c r="F12" s="6">
        <v>0.56035332087650802</v>
      </c>
      <c r="G12" s="6">
        <v>0.56901647698318303</v>
      </c>
      <c r="H12" s="6">
        <v>1.06675726176321E-2</v>
      </c>
      <c r="I12" s="6">
        <v>0.24987260064549</v>
      </c>
      <c r="J12" s="6">
        <v>2.2592152199762201E-2</v>
      </c>
      <c r="K12" s="6">
        <v>0</v>
      </c>
      <c r="L12" s="6">
        <v>0.14115848479700999</v>
      </c>
      <c r="M12" s="6">
        <v>6.6927127569220302E-3</v>
      </c>
      <c r="N12" s="5">
        <v>2</v>
      </c>
      <c r="O12" s="5">
        <v>3</v>
      </c>
      <c r="P12" s="5">
        <v>3</v>
      </c>
      <c r="Q12" s="5">
        <v>0</v>
      </c>
    </row>
    <row r="13" spans="1:17" x14ac:dyDescent="0.3">
      <c r="A13" s="2" t="s">
        <v>58</v>
      </c>
      <c r="B13" s="3" t="s">
        <v>634</v>
      </c>
      <c r="C13" s="3" t="s">
        <v>635</v>
      </c>
      <c r="D13" s="5">
        <v>65</v>
      </c>
      <c r="E13" s="6">
        <v>0.71237876733757399</v>
      </c>
      <c r="F13" s="6">
        <v>0.41552495697073999</v>
      </c>
      <c r="G13" s="6">
        <v>0.42578313253012001</v>
      </c>
      <c r="H13" s="6">
        <v>0</v>
      </c>
      <c r="I13" s="6">
        <v>0.146161790017212</v>
      </c>
      <c r="J13" s="6">
        <v>4.4509466437177299E-2</v>
      </c>
      <c r="K13" s="6">
        <v>0</v>
      </c>
      <c r="L13" s="6">
        <v>0.37445783132530103</v>
      </c>
      <c r="M13" s="6">
        <v>9.08777969018933E-3</v>
      </c>
      <c r="N13" s="5">
        <v>0</v>
      </c>
      <c r="O13" s="5">
        <v>8</v>
      </c>
      <c r="P13" s="5">
        <v>0</v>
      </c>
      <c r="Q13" s="5">
        <v>0</v>
      </c>
    </row>
    <row r="14" spans="1:17" x14ac:dyDescent="0.3">
      <c r="A14" s="2" t="s">
        <v>63</v>
      </c>
      <c r="B14" s="3" t="s">
        <v>636</v>
      </c>
      <c r="C14" s="3" t="s">
        <v>637</v>
      </c>
      <c r="D14" s="5">
        <v>85</v>
      </c>
      <c r="E14" s="6">
        <v>0.76961338458060102</v>
      </c>
      <c r="F14" s="6">
        <v>0.50026955994339195</v>
      </c>
      <c r="G14" s="6">
        <v>0.51627468158231704</v>
      </c>
      <c r="H14" s="6">
        <v>1.3477997169620599E-4</v>
      </c>
      <c r="I14" s="6">
        <v>0.16628479008019401</v>
      </c>
      <c r="J14" s="6">
        <v>5.7079318013343198E-2</v>
      </c>
      <c r="K14" s="6">
        <v>0</v>
      </c>
      <c r="L14" s="6">
        <v>0.25611564121571501</v>
      </c>
      <c r="M14" s="6">
        <v>4.1107891367342803E-3</v>
      </c>
      <c r="N14" s="5">
        <v>1</v>
      </c>
      <c r="O14" s="5">
        <v>9</v>
      </c>
      <c r="P14" s="5">
        <v>0</v>
      </c>
      <c r="Q14" s="5">
        <v>0</v>
      </c>
    </row>
    <row r="15" spans="1:17" x14ac:dyDescent="0.3">
      <c r="A15" s="2" t="s">
        <v>68</v>
      </c>
      <c r="B15" s="3" t="s">
        <v>638</v>
      </c>
      <c r="C15" s="3" t="s">
        <v>639</v>
      </c>
      <c r="D15" s="5">
        <v>65</v>
      </c>
      <c r="E15" s="6">
        <v>0.68466452374171005</v>
      </c>
      <c r="F15" s="6">
        <v>0.51396318166029897</v>
      </c>
      <c r="G15" s="6">
        <v>0.53136505731156702</v>
      </c>
      <c r="H15" s="6">
        <v>8.7877735324765494E-3</v>
      </c>
      <c r="I15" s="6">
        <v>0.26231330323028801</v>
      </c>
      <c r="J15" s="6">
        <v>4.4320944772490399E-2</v>
      </c>
      <c r="K15" s="6">
        <v>0</v>
      </c>
      <c r="L15" s="6">
        <v>0.14706495310871801</v>
      </c>
      <c r="M15" s="6">
        <v>6.1479680444598804E-3</v>
      </c>
      <c r="N15" s="5">
        <v>1</v>
      </c>
      <c r="O15" s="5">
        <v>8</v>
      </c>
      <c r="P15" s="5">
        <v>3</v>
      </c>
      <c r="Q15" s="5">
        <v>1</v>
      </c>
    </row>
    <row r="16" spans="1:17" x14ac:dyDescent="0.3">
      <c r="A16" s="2" t="s">
        <v>72</v>
      </c>
      <c r="B16" s="3" t="s">
        <v>640</v>
      </c>
      <c r="C16" s="3" t="s">
        <v>641</v>
      </c>
      <c r="D16" s="5">
        <v>83</v>
      </c>
      <c r="E16" s="6">
        <v>0.69277926512241494</v>
      </c>
      <c r="F16" s="6">
        <v>0.510580502364264</v>
      </c>
      <c r="G16" s="6">
        <v>0.53895167510647601</v>
      </c>
      <c r="H16" s="6">
        <v>2.8069351755592099E-2</v>
      </c>
      <c r="I16" s="6">
        <v>0.236694724839867</v>
      </c>
      <c r="J16" s="6">
        <v>3.17582749253831E-2</v>
      </c>
      <c r="K16" s="6">
        <v>0</v>
      </c>
      <c r="L16" s="6">
        <v>0.15490123746604501</v>
      </c>
      <c r="M16" s="6">
        <v>9.6247359066367107E-3</v>
      </c>
      <c r="N16" s="5">
        <v>2</v>
      </c>
      <c r="O16" s="5">
        <v>4</v>
      </c>
      <c r="P16" s="5">
        <v>7</v>
      </c>
      <c r="Q16" s="5">
        <v>0</v>
      </c>
    </row>
    <row r="17" spans="1:17" x14ac:dyDescent="0.3">
      <c r="A17" s="2" t="s">
        <v>76</v>
      </c>
      <c r="B17" s="3" t="s">
        <v>642</v>
      </c>
      <c r="C17" s="3" t="s">
        <v>643</v>
      </c>
      <c r="D17" s="5">
        <v>82</v>
      </c>
      <c r="E17" s="6">
        <v>0.707991706719442</v>
      </c>
      <c r="F17" s="6">
        <v>0.48292274174627098</v>
      </c>
      <c r="G17" s="6">
        <v>0.48536953242835601</v>
      </c>
      <c r="H17" s="6">
        <v>2.0110608345902501E-4</v>
      </c>
      <c r="I17" s="6">
        <v>0.203251215015921</v>
      </c>
      <c r="J17" s="6">
        <v>1.8032512150159202E-2</v>
      </c>
      <c r="K17" s="6">
        <v>0</v>
      </c>
      <c r="L17" s="6">
        <v>0.29026311379252601</v>
      </c>
      <c r="M17" s="6">
        <v>2.88252052957935E-3</v>
      </c>
      <c r="N17" s="5">
        <v>2</v>
      </c>
      <c r="O17" s="5">
        <v>1</v>
      </c>
      <c r="P17" s="5">
        <v>0</v>
      </c>
      <c r="Q17" s="5">
        <v>0</v>
      </c>
    </row>
    <row r="18" spans="1:17" x14ac:dyDescent="0.3">
      <c r="A18" s="2" t="s">
        <v>81</v>
      </c>
      <c r="B18" s="3" t="s">
        <v>644</v>
      </c>
      <c r="C18" s="3" t="s">
        <v>645</v>
      </c>
      <c r="D18" s="5">
        <v>81</v>
      </c>
      <c r="E18" s="6">
        <v>0.67538022813688203</v>
      </c>
      <c r="F18" s="6">
        <v>0.57362319861879396</v>
      </c>
      <c r="G18" s="6">
        <v>0.586131566893344</v>
      </c>
      <c r="H18" s="6">
        <v>0</v>
      </c>
      <c r="I18" s="6">
        <v>0.27373947359148698</v>
      </c>
      <c r="J18" s="6">
        <v>1.4692928367569901E-2</v>
      </c>
      <c r="K18" s="6">
        <v>0</v>
      </c>
      <c r="L18" s="6">
        <v>0.11941087347168899</v>
      </c>
      <c r="M18" s="6">
        <v>6.0251576759099397E-3</v>
      </c>
      <c r="N18" s="5">
        <v>1</v>
      </c>
      <c r="O18" s="5">
        <v>1</v>
      </c>
      <c r="P18" s="5">
        <v>0</v>
      </c>
      <c r="Q18" s="5">
        <v>1</v>
      </c>
    </row>
    <row r="19" spans="1:17" x14ac:dyDescent="0.3">
      <c r="A19" s="2" t="s">
        <v>85</v>
      </c>
      <c r="B19" s="3" t="s">
        <v>646</v>
      </c>
      <c r="C19" s="3" t="s">
        <v>631</v>
      </c>
      <c r="D19" s="5">
        <v>80</v>
      </c>
      <c r="E19" s="6">
        <v>0.69849265854420495</v>
      </c>
      <c r="F19" s="6">
        <v>0.56430560681810604</v>
      </c>
      <c r="G19" s="6">
        <v>0.59161829346038997</v>
      </c>
      <c r="H19" s="6">
        <v>0</v>
      </c>
      <c r="I19" s="6">
        <v>0.25480656309767502</v>
      </c>
      <c r="J19" s="6">
        <v>8.5561856188974307E-3</v>
      </c>
      <c r="K19" s="6">
        <v>0</v>
      </c>
      <c r="L19" s="6">
        <v>0.14116028587726101</v>
      </c>
      <c r="M19" s="6">
        <v>3.85867194577727E-3</v>
      </c>
      <c r="N19" s="5">
        <v>2</v>
      </c>
      <c r="O19" s="5">
        <v>0</v>
      </c>
      <c r="P19" s="5">
        <v>0</v>
      </c>
      <c r="Q19" s="5">
        <v>0</v>
      </c>
    </row>
    <row r="20" spans="1:17" x14ac:dyDescent="0.3">
      <c r="A20" s="2" t="s">
        <v>88</v>
      </c>
      <c r="B20" s="3" t="s">
        <v>647</v>
      </c>
      <c r="C20" s="3" t="s">
        <v>648</v>
      </c>
      <c r="D20" s="5">
        <v>79</v>
      </c>
      <c r="E20" s="6">
        <v>0.76545904263058295</v>
      </c>
      <c r="F20" s="6">
        <v>0.46974331693044302</v>
      </c>
      <c r="G20" s="6">
        <v>0.47862082723766403</v>
      </c>
      <c r="H20" s="6">
        <v>2.1379172762335402E-2</v>
      </c>
      <c r="I20" s="6">
        <v>0.14938821651815401</v>
      </c>
      <c r="J20" s="6">
        <v>2.4770581194307799E-2</v>
      </c>
      <c r="K20" s="6">
        <v>0</v>
      </c>
      <c r="L20" s="6">
        <v>0.31952387285543299</v>
      </c>
      <c r="M20" s="6">
        <v>6.3173294321053298E-3</v>
      </c>
      <c r="N20" s="5">
        <v>6</v>
      </c>
      <c r="O20" s="5">
        <v>5</v>
      </c>
      <c r="P20" s="5">
        <v>3</v>
      </c>
      <c r="Q20" s="5">
        <v>0</v>
      </c>
    </row>
    <row r="21" spans="1:17" x14ac:dyDescent="0.3">
      <c r="A21" s="2" t="s">
        <v>94</v>
      </c>
      <c r="B21" s="3" t="s">
        <v>649</v>
      </c>
      <c r="C21" s="3" t="s">
        <v>650</v>
      </c>
      <c r="D21" s="5">
        <v>78</v>
      </c>
      <c r="E21" s="6">
        <v>0.69862960215515602</v>
      </c>
      <c r="F21" s="6">
        <v>0.57495313336904097</v>
      </c>
      <c r="G21" s="6">
        <v>0.58205008034279604</v>
      </c>
      <c r="H21" s="6">
        <v>3.84975897161221E-3</v>
      </c>
      <c r="I21" s="6">
        <v>0.24769014461703301</v>
      </c>
      <c r="J21" s="6">
        <v>1.3122656668452099E-2</v>
      </c>
      <c r="K21" s="6">
        <v>0</v>
      </c>
      <c r="L21" s="6">
        <v>0.14963845741831799</v>
      </c>
      <c r="M21" s="6">
        <v>3.64890198178897E-3</v>
      </c>
      <c r="N21" s="5">
        <v>4</v>
      </c>
      <c r="O21" s="5">
        <v>1</v>
      </c>
      <c r="P21" s="5">
        <v>1</v>
      </c>
      <c r="Q21" s="5">
        <v>0</v>
      </c>
    </row>
    <row r="22" spans="1:17" x14ac:dyDescent="0.3">
      <c r="A22" s="2" t="s">
        <v>99</v>
      </c>
      <c r="B22" s="3" t="s">
        <v>651</v>
      </c>
      <c r="C22" s="3" t="s">
        <v>652</v>
      </c>
      <c r="D22" s="5">
        <v>77</v>
      </c>
      <c r="E22" s="6">
        <v>0.68750243864372396</v>
      </c>
      <c r="F22" s="6">
        <v>0.57945376590932096</v>
      </c>
      <c r="G22" s="6">
        <v>0.58620573241956697</v>
      </c>
      <c r="H22" s="6">
        <v>1.01279497653692E-4</v>
      </c>
      <c r="I22" s="6">
        <v>0.255865770905776</v>
      </c>
      <c r="J22" s="6">
        <v>8.5412376354613295E-3</v>
      </c>
      <c r="K22" s="6">
        <v>0</v>
      </c>
      <c r="L22" s="6">
        <v>0.13568076702339499</v>
      </c>
      <c r="M22" s="6">
        <v>1.36052125181459E-2</v>
      </c>
      <c r="N22" s="5">
        <v>2</v>
      </c>
      <c r="O22" s="5">
        <v>0</v>
      </c>
      <c r="P22" s="5">
        <v>0</v>
      </c>
      <c r="Q22" s="5">
        <v>0</v>
      </c>
    </row>
    <row r="23" spans="1:17" x14ac:dyDescent="0.3">
      <c r="A23" s="2" t="s">
        <v>103</v>
      </c>
      <c r="B23" s="3" t="s">
        <v>653</v>
      </c>
      <c r="C23" s="3" t="s">
        <v>654</v>
      </c>
      <c r="D23" s="5">
        <v>76</v>
      </c>
      <c r="E23" s="6">
        <v>0.69910231997823802</v>
      </c>
      <c r="F23" s="6">
        <v>0.588296375695049</v>
      </c>
      <c r="G23" s="6">
        <v>0.58993769679105001</v>
      </c>
      <c r="H23" s="6">
        <v>1.0048904669391E-4</v>
      </c>
      <c r="I23" s="6">
        <v>0.25467274067126699</v>
      </c>
      <c r="J23" s="6">
        <v>1.25611308367388E-2</v>
      </c>
      <c r="K23" s="6">
        <v>0</v>
      </c>
      <c r="L23" s="6">
        <v>0.140249212835801</v>
      </c>
      <c r="M23" s="6">
        <v>2.47872981844979E-3</v>
      </c>
      <c r="N23" s="5">
        <v>3</v>
      </c>
      <c r="O23" s="5">
        <v>1</v>
      </c>
      <c r="P23" s="5">
        <v>0</v>
      </c>
      <c r="Q23" s="5">
        <v>0</v>
      </c>
    </row>
    <row r="24" spans="1:17" x14ac:dyDescent="0.3">
      <c r="A24" s="2" t="s">
        <v>107</v>
      </c>
      <c r="B24" s="3" t="s">
        <v>655</v>
      </c>
      <c r="C24" s="3" t="s">
        <v>656</v>
      </c>
      <c r="D24" s="5">
        <v>75</v>
      </c>
      <c r="E24" s="6">
        <v>0.74890950112810195</v>
      </c>
      <c r="F24" s="6">
        <v>0.46267686976609901</v>
      </c>
      <c r="G24" s="6">
        <v>0.46527577245163099</v>
      </c>
      <c r="H24" s="6">
        <v>4.4397920877851599E-3</v>
      </c>
      <c r="I24" s="6">
        <v>0.17622004042737499</v>
      </c>
      <c r="J24" s="6">
        <v>6.9448455096736902E-2</v>
      </c>
      <c r="K24" s="6">
        <v>0</v>
      </c>
      <c r="L24" s="6">
        <v>0.28219751660409997</v>
      </c>
      <c r="M24" s="6">
        <v>2.41842333237078E-3</v>
      </c>
      <c r="N24" s="5">
        <v>1</v>
      </c>
      <c r="O24" s="5">
        <v>7</v>
      </c>
      <c r="P24" s="5">
        <v>1</v>
      </c>
      <c r="Q24" s="5">
        <v>0</v>
      </c>
    </row>
    <row r="25" spans="1:17" x14ac:dyDescent="0.3">
      <c r="A25" s="2" t="s">
        <v>112</v>
      </c>
      <c r="B25" s="3" t="s">
        <v>657</v>
      </c>
      <c r="C25" s="3" t="s">
        <v>658</v>
      </c>
      <c r="D25" s="5">
        <v>74</v>
      </c>
      <c r="E25" s="6">
        <v>0.70775301764159704</v>
      </c>
      <c r="F25" s="6">
        <v>0.478030199972793</v>
      </c>
      <c r="G25" s="6">
        <v>0.49663311114134101</v>
      </c>
      <c r="H25" s="6">
        <v>1.1563052645898501E-3</v>
      </c>
      <c r="I25" s="6">
        <v>0.21000544143653899</v>
      </c>
      <c r="J25" s="6">
        <v>2.0677458849136202E-2</v>
      </c>
      <c r="K25" s="6">
        <v>0</v>
      </c>
      <c r="L25" s="6">
        <v>0.26788872262277202</v>
      </c>
      <c r="M25" s="6">
        <v>3.6389606856210002E-3</v>
      </c>
      <c r="N25" s="5">
        <v>1</v>
      </c>
      <c r="O25" s="5">
        <v>2</v>
      </c>
      <c r="P25" s="5">
        <v>0</v>
      </c>
      <c r="Q25" s="5">
        <v>1</v>
      </c>
    </row>
    <row r="26" spans="1:17" x14ac:dyDescent="0.3">
      <c r="A26" s="2" t="s">
        <v>117</v>
      </c>
      <c r="B26" s="3" t="s">
        <v>659</v>
      </c>
      <c r="C26" s="3" t="s">
        <v>660</v>
      </c>
      <c r="D26" s="5">
        <v>73</v>
      </c>
      <c r="E26" s="6">
        <v>0.76297160637884098</v>
      </c>
      <c r="F26" s="6">
        <v>0.59983142279163904</v>
      </c>
      <c r="G26" s="6">
        <v>0.60182063385030304</v>
      </c>
      <c r="H26" s="6">
        <v>1.49359406608227E-2</v>
      </c>
      <c r="I26" s="6">
        <v>0.17107215104517901</v>
      </c>
      <c r="J26" s="6">
        <v>4.46055293324343E-2</v>
      </c>
      <c r="K26" s="6">
        <v>0</v>
      </c>
      <c r="L26" s="6">
        <v>0.147471341874578</v>
      </c>
      <c r="M26" s="6">
        <v>2.00944032366824E-2</v>
      </c>
      <c r="N26" s="5">
        <v>1</v>
      </c>
      <c r="O26" s="5">
        <v>4</v>
      </c>
      <c r="P26" s="5">
        <v>1</v>
      </c>
      <c r="Q26" s="5">
        <v>1</v>
      </c>
    </row>
    <row r="27" spans="1:17" x14ac:dyDescent="0.3">
      <c r="A27" s="2" t="s">
        <v>121</v>
      </c>
      <c r="B27" s="3" t="s">
        <v>661</v>
      </c>
      <c r="C27" s="3" t="s">
        <v>662</v>
      </c>
      <c r="D27" s="5">
        <v>72</v>
      </c>
      <c r="E27" s="6">
        <v>0.71468706102700197</v>
      </c>
      <c r="F27" s="6">
        <v>0.65029060203969702</v>
      </c>
      <c r="G27" s="6">
        <v>0.65098512263771602</v>
      </c>
      <c r="H27" s="6">
        <v>0</v>
      </c>
      <c r="I27" s="6">
        <v>0.25788646415908201</v>
      </c>
      <c r="J27" s="6">
        <v>1.8532733852396101E-2</v>
      </c>
      <c r="K27" s="6">
        <v>0</v>
      </c>
      <c r="L27" s="6">
        <v>6.6893299703914902E-2</v>
      </c>
      <c r="M27" s="6">
        <v>5.7023796468911097E-3</v>
      </c>
      <c r="N27" s="5">
        <v>1</v>
      </c>
      <c r="O27" s="5">
        <v>3</v>
      </c>
      <c r="P27" s="5">
        <v>0</v>
      </c>
      <c r="Q27" s="5">
        <v>0</v>
      </c>
    </row>
    <row r="28" spans="1:17" x14ac:dyDescent="0.3">
      <c r="A28" s="2" t="s">
        <v>124</v>
      </c>
      <c r="B28" s="3" t="s">
        <v>640</v>
      </c>
      <c r="C28" s="3" t="s">
        <v>663</v>
      </c>
      <c r="D28" s="5">
        <v>71</v>
      </c>
      <c r="E28" s="6">
        <v>0.69474793194942996</v>
      </c>
      <c r="F28" s="6">
        <v>0.55001844461584903</v>
      </c>
      <c r="G28" s="6">
        <v>0.57443240886683</v>
      </c>
      <c r="H28" s="6">
        <v>1.23075891210302E-2</v>
      </c>
      <c r="I28" s="6">
        <v>0.25279184412622802</v>
      </c>
      <c r="J28" s="6">
        <v>1.0362520540594901E-2</v>
      </c>
      <c r="K28" s="6">
        <v>0</v>
      </c>
      <c r="L28" s="6">
        <v>0.14420336027365099</v>
      </c>
      <c r="M28" s="6">
        <v>5.9022770716657203E-3</v>
      </c>
      <c r="N28" s="5">
        <v>1</v>
      </c>
      <c r="O28" s="5">
        <v>0</v>
      </c>
      <c r="P28" s="5">
        <v>5</v>
      </c>
      <c r="Q28" s="5">
        <v>0</v>
      </c>
    </row>
    <row r="29" spans="1:17" x14ac:dyDescent="0.3">
      <c r="A29" s="2" t="s">
        <v>128</v>
      </c>
      <c r="B29" s="3" t="s">
        <v>664</v>
      </c>
      <c r="C29" s="3" t="s">
        <v>665</v>
      </c>
      <c r="D29" s="5">
        <v>70</v>
      </c>
      <c r="E29" s="6">
        <v>0.72208690186218305</v>
      </c>
      <c r="F29" s="6">
        <v>0.51334660682347399</v>
      </c>
      <c r="G29" s="6">
        <v>0.54388688286707398</v>
      </c>
      <c r="H29" s="6">
        <v>7.9303479229237694E-3</v>
      </c>
      <c r="I29" s="6">
        <v>0.232038605608612</v>
      </c>
      <c r="J29" s="6">
        <v>6.8437215266763399E-2</v>
      </c>
      <c r="K29" s="6">
        <v>0</v>
      </c>
      <c r="L29" s="6">
        <v>0.141835116255526</v>
      </c>
      <c r="M29" s="6">
        <v>5.8718320791009996E-3</v>
      </c>
      <c r="N29" s="5">
        <v>0</v>
      </c>
      <c r="O29" s="5">
        <v>11</v>
      </c>
      <c r="P29" s="5">
        <v>1</v>
      </c>
      <c r="Q29" s="5">
        <v>1</v>
      </c>
    </row>
    <row r="30" spans="1:17" x14ac:dyDescent="0.3">
      <c r="A30" s="2" t="s">
        <v>132</v>
      </c>
      <c r="B30" s="3" t="s">
        <v>666</v>
      </c>
      <c r="C30" s="3" t="s">
        <v>667</v>
      </c>
      <c r="D30" s="5">
        <v>69</v>
      </c>
      <c r="E30" s="6">
        <v>0.76097143145059698</v>
      </c>
      <c r="F30" s="6">
        <v>0.43603379219817601</v>
      </c>
      <c r="G30" s="6">
        <v>0.44983339503887398</v>
      </c>
      <c r="H30" s="6">
        <v>4.2745111238261897E-3</v>
      </c>
      <c r="I30" s="6">
        <v>0.15681060886540299</v>
      </c>
      <c r="J30" s="6">
        <v>5.4222341893574798E-2</v>
      </c>
      <c r="K30" s="6">
        <v>0</v>
      </c>
      <c r="L30" s="6">
        <v>0.33294066170778502</v>
      </c>
      <c r="M30" s="6">
        <v>1.91848137053616E-3</v>
      </c>
      <c r="N30" s="5">
        <v>1</v>
      </c>
      <c r="O30" s="5">
        <v>11</v>
      </c>
      <c r="P30" s="5">
        <v>2</v>
      </c>
      <c r="Q30" s="5">
        <v>0</v>
      </c>
    </row>
    <row r="31" spans="1:17" x14ac:dyDescent="0.3">
      <c r="A31" s="2" t="s">
        <v>138</v>
      </c>
      <c r="B31" s="3" t="s">
        <v>668</v>
      </c>
      <c r="C31" s="3" t="s">
        <v>669</v>
      </c>
      <c r="D31" s="5">
        <v>68</v>
      </c>
      <c r="E31" s="6">
        <v>0.70364851632679104</v>
      </c>
      <c r="F31" s="6">
        <v>0.52954105200417201</v>
      </c>
      <c r="G31" s="6">
        <v>0.54116376098941998</v>
      </c>
      <c r="H31" s="6">
        <v>1.8141856653255801E-2</v>
      </c>
      <c r="I31" s="6">
        <v>0.19870362092087601</v>
      </c>
      <c r="J31" s="6">
        <v>5.6399940396364201E-2</v>
      </c>
      <c r="K31" s="6">
        <v>0</v>
      </c>
      <c r="L31" s="6">
        <v>0.17955595291312801</v>
      </c>
      <c r="M31" s="6">
        <v>6.0348681269557503E-3</v>
      </c>
      <c r="N31" s="5">
        <v>5</v>
      </c>
      <c r="O31" s="5">
        <v>5</v>
      </c>
      <c r="P31" s="5">
        <v>3</v>
      </c>
      <c r="Q31" s="5">
        <v>1</v>
      </c>
    </row>
    <row r="32" spans="1:17" x14ac:dyDescent="0.3">
      <c r="A32" s="2" t="s">
        <v>143</v>
      </c>
      <c r="B32" s="3" t="s">
        <v>670</v>
      </c>
      <c r="C32" s="3" t="s">
        <v>671</v>
      </c>
      <c r="D32" s="5">
        <v>67</v>
      </c>
      <c r="E32" s="6">
        <v>0.76491825889416298</v>
      </c>
      <c r="F32" s="6">
        <v>0.56446852102649603</v>
      </c>
      <c r="G32" s="6">
        <v>0.58658888078619298</v>
      </c>
      <c r="H32" s="6">
        <v>3.61148730770566E-3</v>
      </c>
      <c r="I32" s="6">
        <v>0.18918637358058099</v>
      </c>
      <c r="J32" s="6">
        <v>6.4590061464735907E-2</v>
      </c>
      <c r="K32" s="6">
        <v>0</v>
      </c>
      <c r="L32" s="6">
        <v>0.14428586311074099</v>
      </c>
      <c r="M32" s="6">
        <v>1.17373337500434E-2</v>
      </c>
      <c r="N32" s="5">
        <v>0</v>
      </c>
      <c r="O32" s="5">
        <v>9</v>
      </c>
      <c r="P32" s="5">
        <v>1</v>
      </c>
      <c r="Q32" s="5">
        <v>1</v>
      </c>
    </row>
    <row r="33" spans="1:17" x14ac:dyDescent="0.3">
      <c r="A33" s="2" t="s">
        <v>145</v>
      </c>
      <c r="B33" s="3" t="s">
        <v>672</v>
      </c>
      <c r="C33" s="3" t="s">
        <v>673</v>
      </c>
      <c r="D33" s="5">
        <v>66</v>
      </c>
      <c r="E33" s="6">
        <v>0.82688050598599505</v>
      </c>
      <c r="F33" s="6">
        <v>0.49789043664612898</v>
      </c>
      <c r="G33" s="6">
        <v>0.51356147870345603</v>
      </c>
      <c r="H33" s="6">
        <v>3.3485132601125101E-3</v>
      </c>
      <c r="I33" s="6">
        <v>0.123660594695955</v>
      </c>
      <c r="J33" s="6">
        <v>9.5968390034824505E-2</v>
      </c>
      <c r="K33" s="6">
        <v>0</v>
      </c>
      <c r="L33" s="6">
        <v>0.25964371818912402</v>
      </c>
      <c r="M33" s="6">
        <v>3.8173051165282601E-3</v>
      </c>
      <c r="N33" s="5">
        <v>1</v>
      </c>
      <c r="O33" s="5">
        <v>15</v>
      </c>
      <c r="P33" s="5">
        <v>1</v>
      </c>
      <c r="Q33" s="5">
        <v>0</v>
      </c>
    </row>
    <row r="34" spans="1:17" x14ac:dyDescent="0.3">
      <c r="A34" s="2" t="s">
        <v>150</v>
      </c>
      <c r="B34" s="3" t="s">
        <v>674</v>
      </c>
      <c r="C34" s="3" t="s">
        <v>675</v>
      </c>
      <c r="D34" s="5">
        <v>65</v>
      </c>
      <c r="E34" s="6">
        <v>0.69531038221740304</v>
      </c>
      <c r="F34" s="6">
        <v>0.56270450751252099</v>
      </c>
      <c r="G34" s="6">
        <v>0.57616026711185298</v>
      </c>
      <c r="H34" s="6">
        <v>1.40233722871452E-3</v>
      </c>
      <c r="I34" s="6">
        <v>0.23966611018363901</v>
      </c>
      <c r="J34" s="6">
        <v>2.1936560934891498E-2</v>
      </c>
      <c r="K34" s="6">
        <v>0</v>
      </c>
      <c r="L34" s="6">
        <v>0.13833055091819699</v>
      </c>
      <c r="M34" s="6">
        <v>2.2504173622704501E-2</v>
      </c>
      <c r="N34" s="5">
        <v>2</v>
      </c>
      <c r="O34" s="5">
        <v>1</v>
      </c>
      <c r="P34" s="5">
        <v>0</v>
      </c>
      <c r="Q34" s="5">
        <v>0</v>
      </c>
    </row>
    <row r="35" spans="1:17" x14ac:dyDescent="0.3">
      <c r="A35" s="2" t="s">
        <v>153</v>
      </c>
      <c r="B35" s="3" t="s">
        <v>676</v>
      </c>
      <c r="C35" s="3" t="s">
        <v>677</v>
      </c>
      <c r="D35" s="5">
        <v>64</v>
      </c>
      <c r="E35" s="6">
        <v>0.70567168827124405</v>
      </c>
      <c r="F35" s="6">
        <v>0.57680556021891705</v>
      </c>
      <c r="G35" s="6">
        <v>0.58597186314340399</v>
      </c>
      <c r="H35" s="6">
        <v>1.00728603565793E-4</v>
      </c>
      <c r="I35" s="6">
        <v>0.245744216499345</v>
      </c>
      <c r="J35" s="6">
        <v>2.2596783399926101E-2</v>
      </c>
      <c r="K35" s="6">
        <v>0</v>
      </c>
      <c r="L35" s="6">
        <v>0.140885740187355</v>
      </c>
      <c r="M35" s="6">
        <v>4.7006681664036503E-3</v>
      </c>
      <c r="N35" s="5">
        <v>2</v>
      </c>
      <c r="O35" s="5">
        <v>2</v>
      </c>
      <c r="P35" s="5">
        <v>0</v>
      </c>
      <c r="Q35" s="5">
        <v>0</v>
      </c>
    </row>
    <row r="36" spans="1:17" x14ac:dyDescent="0.3">
      <c r="A36" s="2" t="s">
        <v>157</v>
      </c>
      <c r="B36" s="3" t="s">
        <v>678</v>
      </c>
      <c r="C36" s="3" t="s">
        <v>679</v>
      </c>
      <c r="D36" s="5">
        <v>63</v>
      </c>
      <c r="E36" s="6">
        <v>0.72876151484135099</v>
      </c>
      <c r="F36" s="6">
        <v>0.55728373576970502</v>
      </c>
      <c r="G36" s="6">
        <v>0.57762308752084701</v>
      </c>
      <c r="H36" s="6">
        <v>7.2511057936335303E-4</v>
      </c>
      <c r="I36" s="6">
        <v>0.20379232833006999</v>
      </c>
      <c r="J36" s="6">
        <v>1.53723442825031E-2</v>
      </c>
      <c r="K36" s="6">
        <v>0</v>
      </c>
      <c r="L36" s="6">
        <v>0.191755492712639</v>
      </c>
      <c r="M36" s="6">
        <v>1.07316365745776E-2</v>
      </c>
      <c r="N36" s="5">
        <v>2</v>
      </c>
      <c r="O36" s="5">
        <v>1</v>
      </c>
      <c r="P36" s="5">
        <v>0</v>
      </c>
      <c r="Q36" s="5">
        <v>0</v>
      </c>
    </row>
    <row r="37" spans="1:17" x14ac:dyDescent="0.3">
      <c r="A37" s="2" t="s">
        <v>161</v>
      </c>
      <c r="B37" s="3" t="s">
        <v>680</v>
      </c>
      <c r="C37" s="3" t="s">
        <v>681</v>
      </c>
      <c r="D37" s="5">
        <v>62</v>
      </c>
      <c r="E37" s="6">
        <v>0.73569306930693101</v>
      </c>
      <c r="F37" s="6">
        <v>0.47590463594126198</v>
      </c>
      <c r="G37" s="6">
        <v>0.48970732865330502</v>
      </c>
      <c r="H37" s="6">
        <v>5.76525248414556E-4</v>
      </c>
      <c r="I37" s="6">
        <v>0.17604368026587999</v>
      </c>
      <c r="J37" s="6">
        <v>1.3700952962322399E-2</v>
      </c>
      <c r="K37" s="6">
        <v>0</v>
      </c>
      <c r="L37" s="6">
        <v>0.31580018313154901</v>
      </c>
      <c r="M37" s="6">
        <v>4.1713297385288402E-3</v>
      </c>
      <c r="N37" s="5">
        <v>1</v>
      </c>
      <c r="O37" s="5">
        <v>1</v>
      </c>
      <c r="P37" s="5">
        <v>0</v>
      </c>
      <c r="Q37" s="5">
        <v>0</v>
      </c>
    </row>
    <row r="38" spans="1:17" x14ac:dyDescent="0.3">
      <c r="A38" s="2" t="s">
        <v>167</v>
      </c>
      <c r="B38" s="3" t="s">
        <v>682</v>
      </c>
      <c r="C38" s="3" t="s">
        <v>683</v>
      </c>
      <c r="D38" s="5">
        <v>61</v>
      </c>
      <c r="E38" s="6">
        <v>0.69341474051461005</v>
      </c>
      <c r="F38" s="6">
        <v>0.55636846224520997</v>
      </c>
      <c r="G38" s="6">
        <v>0.57103481131112399</v>
      </c>
      <c r="H38" s="6">
        <v>0</v>
      </c>
      <c r="I38" s="6">
        <v>0.25923027188893</v>
      </c>
      <c r="J38" s="6">
        <v>2.41263143566883E-2</v>
      </c>
      <c r="K38" s="6">
        <v>0</v>
      </c>
      <c r="L38" s="6">
        <v>0.14210365127437299</v>
      </c>
      <c r="M38" s="6">
        <v>3.5049511688842001E-3</v>
      </c>
      <c r="N38" s="5">
        <v>2</v>
      </c>
      <c r="O38" s="5">
        <v>3</v>
      </c>
      <c r="P38" s="5">
        <v>0</v>
      </c>
      <c r="Q38" s="5">
        <v>0</v>
      </c>
    </row>
    <row r="39" spans="1:17" x14ac:dyDescent="0.3">
      <c r="A39" s="2" t="s">
        <v>171</v>
      </c>
      <c r="B39" s="3" t="s">
        <v>684</v>
      </c>
      <c r="C39" s="3" t="s">
        <v>685</v>
      </c>
      <c r="D39" s="5">
        <v>60</v>
      </c>
      <c r="E39" s="6">
        <v>0.69527796252102803</v>
      </c>
      <c r="F39" s="6">
        <v>0.527970147246689</v>
      </c>
      <c r="G39" s="6">
        <v>0.54340079338398395</v>
      </c>
      <c r="H39" s="6">
        <v>3.52988637127681E-3</v>
      </c>
      <c r="I39" s="6">
        <v>0.25667316613998498</v>
      </c>
      <c r="J39" s="6">
        <v>5.0527802057419503E-2</v>
      </c>
      <c r="K39" s="6">
        <v>0</v>
      </c>
      <c r="L39" s="6">
        <v>0.14267464533046501</v>
      </c>
      <c r="M39" s="6">
        <v>3.1937067168695001E-3</v>
      </c>
      <c r="N39" s="5">
        <v>1</v>
      </c>
      <c r="O39" s="5">
        <v>11</v>
      </c>
      <c r="P39" s="5">
        <v>1</v>
      </c>
      <c r="Q39" s="5">
        <v>0</v>
      </c>
    </row>
    <row r="40" spans="1:17" x14ac:dyDescent="0.3">
      <c r="A40" s="2" t="s">
        <v>173</v>
      </c>
      <c r="B40" s="3" t="s">
        <v>686</v>
      </c>
      <c r="C40" s="3" t="s">
        <v>687</v>
      </c>
      <c r="D40" s="5">
        <v>59</v>
      </c>
      <c r="E40" s="6">
        <v>0.69738129721689401</v>
      </c>
      <c r="F40" s="6">
        <v>0.565025741108382</v>
      </c>
      <c r="G40" s="6">
        <v>0.57508664490729799</v>
      </c>
      <c r="H40" s="6">
        <v>6.7297015377368002E-5</v>
      </c>
      <c r="I40" s="6">
        <v>0.25438271812645102</v>
      </c>
      <c r="J40" s="6">
        <v>2.4327871058918499E-2</v>
      </c>
      <c r="K40" s="6">
        <v>0</v>
      </c>
      <c r="L40" s="6">
        <v>0.14223224200006701</v>
      </c>
      <c r="M40" s="6">
        <v>3.9032268918873401E-3</v>
      </c>
      <c r="N40" s="5">
        <v>1</v>
      </c>
      <c r="O40" s="5">
        <v>4</v>
      </c>
      <c r="P40" s="5">
        <v>0</v>
      </c>
      <c r="Q40" s="5">
        <v>0</v>
      </c>
    </row>
    <row r="41" spans="1:17" x14ac:dyDescent="0.3">
      <c r="A41" s="2" t="s">
        <v>177</v>
      </c>
      <c r="B41" s="3" t="s">
        <v>688</v>
      </c>
      <c r="C41" s="3" t="s">
        <v>689</v>
      </c>
      <c r="D41" s="5">
        <v>58</v>
      </c>
      <c r="E41" s="6">
        <v>0.76123244929797196</v>
      </c>
      <c r="F41" s="6">
        <v>0.48579278917035301</v>
      </c>
      <c r="G41" s="6">
        <v>0.51601661975606505</v>
      </c>
      <c r="H41" s="6">
        <v>1.0052271813429799E-3</v>
      </c>
      <c r="I41" s="6">
        <v>0.20158155743198</v>
      </c>
      <c r="J41" s="6">
        <v>0.13697895724433701</v>
      </c>
      <c r="K41" s="6">
        <v>0</v>
      </c>
      <c r="L41" s="6">
        <v>0.141133896260555</v>
      </c>
      <c r="M41" s="6">
        <v>3.2837421257204099E-3</v>
      </c>
      <c r="N41" s="5">
        <v>1</v>
      </c>
      <c r="O41" s="5">
        <v>3</v>
      </c>
      <c r="P41" s="5">
        <v>0</v>
      </c>
      <c r="Q41" s="5">
        <v>1</v>
      </c>
    </row>
    <row r="42" spans="1:17" x14ac:dyDescent="0.3">
      <c r="A42" s="2" t="s">
        <v>181</v>
      </c>
      <c r="B42" s="3" t="s">
        <v>690</v>
      </c>
      <c r="C42" s="3" t="s">
        <v>691</v>
      </c>
      <c r="D42" s="5">
        <v>57</v>
      </c>
      <c r="E42" s="6">
        <v>0.695039590125757</v>
      </c>
      <c r="F42" s="6">
        <v>0.572258996673499</v>
      </c>
      <c r="G42" s="6">
        <v>0.58418735929572296</v>
      </c>
      <c r="H42" s="6">
        <v>3.3601021471052698E-5</v>
      </c>
      <c r="I42" s="6">
        <v>0.24081852088303499</v>
      </c>
      <c r="J42" s="6">
        <v>1.7472531164947399E-2</v>
      </c>
      <c r="K42" s="6">
        <v>0</v>
      </c>
      <c r="L42" s="6">
        <v>0.136420147172474</v>
      </c>
      <c r="M42" s="6">
        <v>2.10678404623501E-2</v>
      </c>
      <c r="N42" s="5">
        <v>3</v>
      </c>
      <c r="O42" s="5">
        <v>1</v>
      </c>
      <c r="P42" s="5">
        <v>0</v>
      </c>
      <c r="Q42" s="5">
        <v>0</v>
      </c>
    </row>
    <row r="43" spans="1:17" x14ac:dyDescent="0.3">
      <c r="A43" s="2" t="s">
        <v>185</v>
      </c>
      <c r="B43" s="3" t="s">
        <v>692</v>
      </c>
      <c r="C43" s="3" t="s">
        <v>693</v>
      </c>
      <c r="D43" s="5">
        <v>56</v>
      </c>
      <c r="E43" s="6">
        <v>0.69664535949655604</v>
      </c>
      <c r="F43" s="6">
        <v>0.46542627048042201</v>
      </c>
      <c r="G43" s="6">
        <v>0.47490280477645103</v>
      </c>
      <c r="H43" s="6">
        <v>3.01999444598723E-3</v>
      </c>
      <c r="I43" s="6">
        <v>0.207581227436823</v>
      </c>
      <c r="J43" s="6">
        <v>1.01013607331297E-2</v>
      </c>
      <c r="K43" s="6">
        <v>0</v>
      </c>
      <c r="L43" s="6">
        <v>0.30179116911968901</v>
      </c>
      <c r="M43" s="6">
        <v>2.6034434879200199E-3</v>
      </c>
      <c r="N43" s="5">
        <v>1</v>
      </c>
      <c r="O43" s="5">
        <v>1</v>
      </c>
      <c r="P43" s="5">
        <v>1</v>
      </c>
      <c r="Q43" s="5">
        <v>2</v>
      </c>
    </row>
    <row r="44" spans="1:17" x14ac:dyDescent="0.3">
      <c r="A44" s="2" t="s">
        <v>190</v>
      </c>
      <c r="B44" s="3" t="s">
        <v>694</v>
      </c>
      <c r="C44" s="3" t="s">
        <v>695</v>
      </c>
      <c r="D44" s="5">
        <v>55</v>
      </c>
      <c r="E44" s="6">
        <v>0.70266186214111404</v>
      </c>
      <c r="F44" s="6">
        <v>0.64380836602751801</v>
      </c>
      <c r="G44" s="6">
        <v>0.65602033486213196</v>
      </c>
      <c r="H44" s="6">
        <v>2.2103111012875101E-4</v>
      </c>
      <c r="I44" s="6">
        <v>0.27954909653533699</v>
      </c>
      <c r="J44" s="6">
        <v>1.18251643918882E-2</v>
      </c>
      <c r="K44" s="6">
        <v>0</v>
      </c>
      <c r="L44" s="6">
        <v>4.9731999778968902E-2</v>
      </c>
      <c r="M44" s="6">
        <v>2.6523733215450102E-3</v>
      </c>
      <c r="N44" s="5">
        <v>1</v>
      </c>
      <c r="O44" s="5">
        <v>0</v>
      </c>
      <c r="P44" s="5">
        <v>0</v>
      </c>
      <c r="Q44" s="5">
        <v>0</v>
      </c>
    </row>
    <row r="45" spans="1:17" x14ac:dyDescent="0.3">
      <c r="A45" s="2" t="s">
        <v>193</v>
      </c>
      <c r="B45" s="3" t="s">
        <v>696</v>
      </c>
      <c r="C45" s="3" t="s">
        <v>697</v>
      </c>
      <c r="D45" s="5">
        <v>54</v>
      </c>
      <c r="E45" s="6">
        <v>0.723596610682403</v>
      </c>
      <c r="F45" s="6">
        <v>0.57347234098533195</v>
      </c>
      <c r="G45" s="6">
        <v>0.587120962967835</v>
      </c>
      <c r="H45" s="6">
        <v>8.5509438926527695E-4</v>
      </c>
      <c r="I45" s="6">
        <v>0.231237255804775</v>
      </c>
      <c r="J45" s="6">
        <v>4.11431954219562E-2</v>
      </c>
      <c r="K45" s="6">
        <v>0</v>
      </c>
      <c r="L45" s="6">
        <v>0.137637308425968</v>
      </c>
      <c r="M45" s="6">
        <v>2.0061829901993002E-3</v>
      </c>
      <c r="N45" s="5">
        <v>7</v>
      </c>
      <c r="O45" s="5">
        <v>6</v>
      </c>
      <c r="P45" s="5">
        <v>0</v>
      </c>
      <c r="Q45" s="5">
        <v>0</v>
      </c>
    </row>
    <row r="46" spans="1:17" x14ac:dyDescent="0.3">
      <c r="A46" s="2" t="s">
        <v>197</v>
      </c>
      <c r="B46" s="3" t="s">
        <v>698</v>
      </c>
      <c r="C46" s="3" t="s">
        <v>699</v>
      </c>
      <c r="D46" s="5">
        <v>53</v>
      </c>
      <c r="E46" s="6">
        <v>0.77997769102063597</v>
      </c>
      <c r="F46" s="6">
        <v>0.64717479317021698</v>
      </c>
      <c r="G46" s="6">
        <v>0.671043830311565</v>
      </c>
      <c r="H46" s="6">
        <v>2.11230417180074E-3</v>
      </c>
      <c r="I46" s="6">
        <v>0.178067241682802</v>
      </c>
      <c r="J46" s="6">
        <v>1.60535117056856E-2</v>
      </c>
      <c r="K46" s="6">
        <v>0</v>
      </c>
      <c r="L46" s="6">
        <v>0.118957929941912</v>
      </c>
      <c r="M46" s="6">
        <v>1.3765182186234799E-2</v>
      </c>
      <c r="N46" s="5">
        <v>3</v>
      </c>
      <c r="O46" s="5">
        <v>2</v>
      </c>
      <c r="P46" s="5">
        <v>1</v>
      </c>
      <c r="Q46" s="5">
        <v>2</v>
      </c>
    </row>
    <row r="47" spans="1:17" x14ac:dyDescent="0.3">
      <c r="A47" s="2" t="s">
        <v>201</v>
      </c>
      <c r="B47" s="3" t="s">
        <v>700</v>
      </c>
      <c r="C47" s="3" t="s">
        <v>701</v>
      </c>
      <c r="D47" s="5">
        <v>52</v>
      </c>
      <c r="E47" s="6">
        <v>0.72041532334534397</v>
      </c>
      <c r="F47" s="6">
        <v>0.50443090556632497</v>
      </c>
      <c r="G47" s="6">
        <v>0.51128496261423395</v>
      </c>
      <c r="H47" s="6">
        <v>5.98864580448629E-3</v>
      </c>
      <c r="I47" s="6">
        <v>0.19776377734699499</v>
      </c>
      <c r="J47" s="6">
        <v>8.7233453337025799E-3</v>
      </c>
      <c r="K47" s="6">
        <v>0</v>
      </c>
      <c r="L47" s="6">
        <v>0.27083910274162298</v>
      </c>
      <c r="M47" s="6">
        <v>5.4001661589587399E-3</v>
      </c>
      <c r="N47" s="5">
        <v>3</v>
      </c>
      <c r="O47" s="5">
        <v>0</v>
      </c>
      <c r="P47" s="5">
        <v>1</v>
      </c>
      <c r="Q47" s="5">
        <v>0</v>
      </c>
    </row>
    <row r="48" spans="1:17" x14ac:dyDescent="0.3">
      <c r="A48" s="2" t="s">
        <v>206</v>
      </c>
      <c r="B48" s="3" t="s">
        <v>702</v>
      </c>
      <c r="C48" s="3" t="s">
        <v>703</v>
      </c>
      <c r="D48" s="5">
        <v>51</v>
      </c>
      <c r="E48" s="6">
        <v>0.71393878652378395</v>
      </c>
      <c r="F48" s="6">
        <v>0.55280122283511701</v>
      </c>
      <c r="G48" s="6">
        <v>0.56732238984515204</v>
      </c>
      <c r="H48" s="6">
        <v>5.0176114840167502E-3</v>
      </c>
      <c r="I48" s="6">
        <v>0.23931680733701099</v>
      </c>
      <c r="J48" s="6">
        <v>4.3098292018342498E-2</v>
      </c>
      <c r="K48" s="6">
        <v>0</v>
      </c>
      <c r="L48" s="6">
        <v>0.138499368644913</v>
      </c>
      <c r="M48" s="6">
        <v>6.7455306705655601E-3</v>
      </c>
      <c r="N48" s="5">
        <v>5</v>
      </c>
      <c r="O48" s="5">
        <v>8</v>
      </c>
      <c r="P48" s="5">
        <v>2</v>
      </c>
      <c r="Q48" s="5">
        <v>0</v>
      </c>
    </row>
    <row r="49" spans="1:17" x14ac:dyDescent="0.3">
      <c r="A49" s="2" t="s">
        <v>208</v>
      </c>
      <c r="B49" s="3" t="s">
        <v>704</v>
      </c>
      <c r="C49" s="3" t="s">
        <v>705</v>
      </c>
      <c r="D49" s="5">
        <v>50</v>
      </c>
      <c r="E49" s="6">
        <v>0.66945835942391996</v>
      </c>
      <c r="F49" s="6">
        <v>0.55493137782561897</v>
      </c>
      <c r="G49" s="6">
        <v>0.56529198062432695</v>
      </c>
      <c r="H49" s="6">
        <v>2.35468245425188E-4</v>
      </c>
      <c r="I49" s="6">
        <v>0.28081270182992502</v>
      </c>
      <c r="J49" s="6">
        <v>9.8896663078579094E-3</v>
      </c>
      <c r="K49" s="6">
        <v>0</v>
      </c>
      <c r="L49" s="6">
        <v>0.14077637244348801</v>
      </c>
      <c r="M49" s="6">
        <v>2.99381054897739E-3</v>
      </c>
      <c r="N49" s="5">
        <v>3</v>
      </c>
      <c r="O49" s="5">
        <v>0</v>
      </c>
      <c r="P49" s="5">
        <v>0</v>
      </c>
      <c r="Q49" s="5">
        <v>0</v>
      </c>
    </row>
    <row r="50" spans="1:17" x14ac:dyDescent="0.3">
      <c r="A50" s="2" t="s">
        <v>210</v>
      </c>
      <c r="B50" s="3" t="s">
        <v>706</v>
      </c>
      <c r="C50" s="3" t="s">
        <v>707</v>
      </c>
      <c r="D50" s="5">
        <v>49</v>
      </c>
      <c r="E50" s="6">
        <v>0.68951054646143795</v>
      </c>
      <c r="F50" s="6">
        <v>0.55217497131332804</v>
      </c>
      <c r="G50" s="6">
        <v>0.55662575193852304</v>
      </c>
      <c r="H50" s="6">
        <v>0</v>
      </c>
      <c r="I50" s="6">
        <v>0.26224833965019601</v>
      </c>
      <c r="J50" s="6">
        <v>3.2163844361764997E-2</v>
      </c>
      <c r="K50" s="6">
        <v>0</v>
      </c>
      <c r="L50" s="6">
        <v>0.14642372822420799</v>
      </c>
      <c r="M50" s="6">
        <v>2.5383358253068598E-3</v>
      </c>
      <c r="N50" s="5">
        <v>0</v>
      </c>
      <c r="O50" s="5">
        <v>3</v>
      </c>
      <c r="P50" s="5">
        <v>0</v>
      </c>
      <c r="Q50" s="5">
        <v>2</v>
      </c>
    </row>
    <row r="51" spans="1:17" x14ac:dyDescent="0.3">
      <c r="A51" s="2" t="s">
        <v>213</v>
      </c>
      <c r="B51" s="3" t="s">
        <v>708</v>
      </c>
      <c r="C51" s="3" t="s">
        <v>709</v>
      </c>
      <c r="D51" s="5">
        <v>48</v>
      </c>
      <c r="E51" s="6">
        <v>0.67908190498784204</v>
      </c>
      <c r="F51" s="6">
        <v>0.58819557756147001</v>
      </c>
      <c r="G51" s="6">
        <v>0.61205198897203605</v>
      </c>
      <c r="H51" s="6">
        <v>1.1196759129015899E-2</v>
      </c>
      <c r="I51" s="6">
        <v>0.28644573229055298</v>
      </c>
      <c r="J51" s="6">
        <v>2.0986890226748399E-2</v>
      </c>
      <c r="K51" s="6">
        <v>0</v>
      </c>
      <c r="L51" s="6">
        <v>6.1328982163956602E-2</v>
      </c>
      <c r="M51" s="6">
        <v>7.9896472176897507E-3</v>
      </c>
      <c r="N51" s="5">
        <v>2</v>
      </c>
      <c r="O51" s="5">
        <v>2</v>
      </c>
      <c r="P51" s="5">
        <v>3</v>
      </c>
      <c r="Q51" s="5">
        <v>0</v>
      </c>
    </row>
    <row r="52" spans="1:17" x14ac:dyDescent="0.3">
      <c r="A52" s="2" t="s">
        <v>217</v>
      </c>
      <c r="B52" s="3" t="s">
        <v>710</v>
      </c>
      <c r="C52" s="3" t="s">
        <v>711</v>
      </c>
      <c r="D52" s="5">
        <v>47</v>
      </c>
      <c r="E52" s="6">
        <v>0.67342260827602896</v>
      </c>
      <c r="F52" s="6">
        <v>0.55534863732407003</v>
      </c>
      <c r="G52" s="6">
        <v>0.56333488522006903</v>
      </c>
      <c r="H52" s="6">
        <v>5.0137879167711202E-4</v>
      </c>
      <c r="I52" s="6">
        <v>0.23521827883823401</v>
      </c>
      <c r="J52" s="6">
        <v>3.5884396375747599E-2</v>
      </c>
      <c r="K52" s="6">
        <v>0</v>
      </c>
      <c r="L52" s="6">
        <v>0.16058446442001201</v>
      </c>
      <c r="M52" s="6">
        <v>4.4765963542599298E-3</v>
      </c>
      <c r="N52" s="5">
        <v>1</v>
      </c>
      <c r="O52" s="5">
        <v>6</v>
      </c>
      <c r="P52" s="5">
        <v>0</v>
      </c>
      <c r="Q52" s="5">
        <v>0</v>
      </c>
    </row>
    <row r="53" spans="1:17" x14ac:dyDescent="0.3">
      <c r="A53" s="2" t="s">
        <v>222</v>
      </c>
      <c r="B53" s="3" t="s">
        <v>712</v>
      </c>
      <c r="C53" s="3" t="s">
        <v>713</v>
      </c>
      <c r="D53" s="5">
        <v>46</v>
      </c>
      <c r="E53" s="6">
        <v>0.69809481252792804</v>
      </c>
      <c r="F53" s="6">
        <v>0.55815083469267301</v>
      </c>
      <c r="G53" s="6">
        <v>0.57887064866553295</v>
      </c>
      <c r="H53" s="6">
        <v>3.81772116752855E-4</v>
      </c>
      <c r="I53" s="6">
        <v>0.25356609863603202</v>
      </c>
      <c r="J53" s="6">
        <v>1.7179745253878501E-2</v>
      </c>
      <c r="K53" s="6">
        <v>0</v>
      </c>
      <c r="L53" s="6">
        <v>0.145906361711727</v>
      </c>
      <c r="M53" s="6">
        <v>4.0953736160760802E-3</v>
      </c>
      <c r="N53" s="5">
        <v>2</v>
      </c>
      <c r="O53" s="5">
        <v>1</v>
      </c>
      <c r="P53" s="5">
        <v>0</v>
      </c>
      <c r="Q53" s="5">
        <v>0</v>
      </c>
    </row>
    <row r="54" spans="1:17" x14ac:dyDescent="0.3">
      <c r="A54" s="2" t="s">
        <v>224</v>
      </c>
      <c r="B54" s="3" t="s">
        <v>714</v>
      </c>
      <c r="C54" s="3" t="s">
        <v>715</v>
      </c>
      <c r="D54" s="5">
        <v>45</v>
      </c>
      <c r="E54" s="6">
        <v>0.69352597943873295</v>
      </c>
      <c r="F54" s="6">
        <v>0.53002824185919895</v>
      </c>
      <c r="G54" s="6">
        <v>0.56510939467147603</v>
      </c>
      <c r="H54" s="6">
        <v>3.7769233386641299E-3</v>
      </c>
      <c r="I54" s="6">
        <v>0.255912075946783</v>
      </c>
      <c r="J54" s="6">
        <v>2.5009357242505699E-2</v>
      </c>
      <c r="K54" s="6">
        <v>0</v>
      </c>
      <c r="L54" s="6">
        <v>0.14321684984177799</v>
      </c>
      <c r="M54" s="6">
        <v>6.9753989587941099E-3</v>
      </c>
      <c r="N54" s="5">
        <v>1</v>
      </c>
      <c r="O54" s="5">
        <v>3</v>
      </c>
      <c r="P54" s="5">
        <v>1</v>
      </c>
      <c r="Q54" s="5">
        <v>1</v>
      </c>
    </row>
    <row r="55" spans="1:17" x14ac:dyDescent="0.3">
      <c r="A55" s="2" t="s">
        <v>227</v>
      </c>
      <c r="B55" s="3" t="s">
        <v>716</v>
      </c>
      <c r="C55" s="3" t="s">
        <v>717</v>
      </c>
      <c r="D55" s="5">
        <v>44</v>
      </c>
      <c r="E55" s="6">
        <v>0.71640091116173099</v>
      </c>
      <c r="F55" s="6">
        <v>0.54639905548996504</v>
      </c>
      <c r="G55" s="6">
        <v>0.55422499578343698</v>
      </c>
      <c r="H55" s="6">
        <v>6.7465002529937596E-5</v>
      </c>
      <c r="I55" s="6">
        <v>0.23875864395344901</v>
      </c>
      <c r="J55" s="6">
        <v>6.1022094788328603E-2</v>
      </c>
      <c r="K55" s="6">
        <v>0</v>
      </c>
      <c r="L55" s="6">
        <v>0.142992072862203</v>
      </c>
      <c r="M55" s="6">
        <v>2.9347276100522802E-3</v>
      </c>
      <c r="N55" s="5">
        <v>1</v>
      </c>
      <c r="O55" s="5">
        <v>9</v>
      </c>
      <c r="P55" s="5">
        <v>0</v>
      </c>
      <c r="Q55" s="5">
        <v>0</v>
      </c>
    </row>
    <row r="56" spans="1:17" x14ac:dyDescent="0.3">
      <c r="A56" s="2" t="s">
        <v>231</v>
      </c>
      <c r="B56" s="3" t="s">
        <v>718</v>
      </c>
      <c r="C56" s="3" t="s">
        <v>719</v>
      </c>
      <c r="D56" s="5">
        <v>43</v>
      </c>
      <c r="E56" s="6">
        <v>0.67961702127659596</v>
      </c>
      <c r="F56" s="6">
        <v>0.52849609939323905</v>
      </c>
      <c r="G56" s="6">
        <v>0.52849609939323905</v>
      </c>
      <c r="H56" s="6">
        <v>0</v>
      </c>
      <c r="I56" s="6">
        <v>0.26820283155157498</v>
      </c>
      <c r="J56" s="6">
        <v>4.83241837619185E-2</v>
      </c>
      <c r="K56" s="6">
        <v>0</v>
      </c>
      <c r="L56" s="6">
        <v>0.15335163247616301</v>
      </c>
      <c r="M56" s="6">
        <v>1.6252528171048801E-3</v>
      </c>
      <c r="N56" s="5">
        <v>0</v>
      </c>
      <c r="O56" s="5">
        <v>7</v>
      </c>
      <c r="P56" s="5">
        <v>0</v>
      </c>
      <c r="Q56" s="5">
        <v>0</v>
      </c>
    </row>
    <row r="57" spans="1:17" x14ac:dyDescent="0.3">
      <c r="A57" s="2" t="s">
        <v>235</v>
      </c>
      <c r="B57" s="3" t="s">
        <v>720</v>
      </c>
      <c r="C57" s="3" t="s">
        <v>721</v>
      </c>
      <c r="D57" s="5">
        <v>42</v>
      </c>
      <c r="E57" s="6">
        <v>0.65449973638317704</v>
      </c>
      <c r="F57" s="6">
        <v>0.53279711551795905</v>
      </c>
      <c r="G57" s="6">
        <v>0.54420330051310495</v>
      </c>
      <c r="H57" s="6">
        <v>1.04007765913188E-4</v>
      </c>
      <c r="I57" s="6">
        <v>0.287685480515879</v>
      </c>
      <c r="J57" s="6">
        <v>1.51851338233255E-2</v>
      </c>
      <c r="K57" s="6">
        <v>0</v>
      </c>
      <c r="L57" s="6">
        <v>0.14536818749133301</v>
      </c>
      <c r="M57" s="6">
        <v>7.4538898904451499E-3</v>
      </c>
      <c r="N57" s="5">
        <v>0</v>
      </c>
      <c r="O57" s="5">
        <v>1</v>
      </c>
      <c r="P57" s="5">
        <v>0</v>
      </c>
      <c r="Q57" s="5">
        <v>7</v>
      </c>
    </row>
    <row r="58" spans="1:17" x14ac:dyDescent="0.3">
      <c r="A58" s="2" t="s">
        <v>237</v>
      </c>
      <c r="B58" s="3" t="s">
        <v>722</v>
      </c>
      <c r="C58" s="3" t="s">
        <v>723</v>
      </c>
      <c r="D58" s="5">
        <v>41</v>
      </c>
      <c r="E58" s="6">
        <v>0.66536533245664498</v>
      </c>
      <c r="F58" s="6">
        <v>0.53150089401535605</v>
      </c>
      <c r="G58" s="6">
        <v>0.53788170949759795</v>
      </c>
      <c r="H58" s="6">
        <v>8.7648564316516499E-4</v>
      </c>
      <c r="I58" s="6">
        <v>0.268134487957087</v>
      </c>
      <c r="J58" s="6">
        <v>2.8888966798723801E-2</v>
      </c>
      <c r="K58" s="6">
        <v>0</v>
      </c>
      <c r="L58" s="6">
        <v>0.15983592188759899</v>
      </c>
      <c r="M58" s="6">
        <v>4.3824282158258197E-3</v>
      </c>
      <c r="N58" s="5">
        <v>0</v>
      </c>
      <c r="O58" s="5">
        <v>1</v>
      </c>
      <c r="P58" s="5">
        <v>0</v>
      </c>
      <c r="Q58" s="5">
        <v>0</v>
      </c>
    </row>
    <row r="59" spans="1:17" x14ac:dyDescent="0.3">
      <c r="A59" s="2" t="s">
        <v>239</v>
      </c>
      <c r="B59" s="3" t="s">
        <v>657</v>
      </c>
      <c r="C59" s="3" t="s">
        <v>724</v>
      </c>
      <c r="D59" s="5">
        <v>40</v>
      </c>
      <c r="E59" s="6">
        <v>0.72453712881100596</v>
      </c>
      <c r="F59" s="6">
        <v>0.58954564004897303</v>
      </c>
      <c r="G59" s="6">
        <v>0.59757175894436099</v>
      </c>
      <c r="H59" s="6">
        <v>2.3806284859202801E-4</v>
      </c>
      <c r="I59" s="6">
        <v>0.213406339273568</v>
      </c>
      <c r="J59" s="6">
        <v>2.3704257924092E-2</v>
      </c>
      <c r="K59" s="6">
        <v>0</v>
      </c>
      <c r="L59" s="6">
        <v>0.146204598013876</v>
      </c>
      <c r="M59" s="6">
        <v>1.8874982995510801E-2</v>
      </c>
      <c r="N59" s="5">
        <v>0</v>
      </c>
      <c r="O59" s="5">
        <v>3</v>
      </c>
      <c r="P59" s="5">
        <v>0</v>
      </c>
      <c r="Q59" s="5">
        <v>1</v>
      </c>
    </row>
    <row r="60" spans="1:17" x14ac:dyDescent="0.3">
      <c r="A60" s="2" t="s">
        <v>242</v>
      </c>
      <c r="B60" s="3" t="s">
        <v>725</v>
      </c>
      <c r="C60" s="3" t="s">
        <v>726</v>
      </c>
      <c r="D60" s="5">
        <v>39</v>
      </c>
      <c r="E60" s="6">
        <v>0.699298979215349</v>
      </c>
      <c r="F60" s="6">
        <v>0.34903360911806097</v>
      </c>
      <c r="G60" s="6">
        <v>0.35964159428747999</v>
      </c>
      <c r="H60" s="6">
        <v>1.9499467884239102E-2</v>
      </c>
      <c r="I60" s="6">
        <v>0.16433794500326099</v>
      </c>
      <c r="J60" s="6">
        <v>1.1260256102166201E-2</v>
      </c>
      <c r="K60" s="6">
        <v>0</v>
      </c>
      <c r="L60" s="6">
        <v>0.442342682550036</v>
      </c>
      <c r="M60" s="6">
        <v>2.9180541728174702E-3</v>
      </c>
      <c r="N60" s="5">
        <v>2</v>
      </c>
      <c r="O60" s="5">
        <v>1</v>
      </c>
      <c r="P60" s="5">
        <v>4</v>
      </c>
      <c r="Q60" s="5">
        <v>0</v>
      </c>
    </row>
    <row r="61" spans="1:17" x14ac:dyDescent="0.3">
      <c r="A61" s="2" t="s">
        <v>247</v>
      </c>
      <c r="B61" s="3" t="s">
        <v>727</v>
      </c>
      <c r="C61" s="3" t="s">
        <v>728</v>
      </c>
      <c r="D61" s="5">
        <v>38</v>
      </c>
      <c r="E61" s="6">
        <v>0.67028023930547398</v>
      </c>
      <c r="F61" s="6">
        <v>0.47933717288067101</v>
      </c>
      <c r="G61" s="6">
        <v>0.48829611666835099</v>
      </c>
      <c r="H61" s="6">
        <v>4.3784311744299602E-4</v>
      </c>
      <c r="I61" s="6">
        <v>0.22687009531507901</v>
      </c>
      <c r="J61" s="6">
        <v>1.31352935232899E-2</v>
      </c>
      <c r="K61" s="6">
        <v>0</v>
      </c>
      <c r="L61" s="6">
        <v>0.26755582499747399</v>
      </c>
      <c r="M61" s="6">
        <v>3.7048263783638099E-3</v>
      </c>
      <c r="N61" s="5">
        <v>1</v>
      </c>
      <c r="O61" s="5">
        <v>1</v>
      </c>
      <c r="P61" s="5">
        <v>0</v>
      </c>
      <c r="Q61" s="5">
        <v>0</v>
      </c>
    </row>
    <row r="62" spans="1:17" x14ac:dyDescent="0.3">
      <c r="A62" s="2" t="s">
        <v>252</v>
      </c>
      <c r="B62" s="3" t="s">
        <v>729</v>
      </c>
      <c r="C62" s="3" t="s">
        <v>730</v>
      </c>
      <c r="D62" s="5">
        <v>37</v>
      </c>
      <c r="E62" s="6">
        <v>0.72721227904914898</v>
      </c>
      <c r="F62" s="6">
        <v>0.62762080802746201</v>
      </c>
      <c r="G62" s="6">
        <v>0.66421969897016098</v>
      </c>
      <c r="H62" s="6">
        <v>0</v>
      </c>
      <c r="I62" s="6">
        <v>0.25207288090837099</v>
      </c>
      <c r="J62" s="6">
        <v>2.8888302086083999E-2</v>
      </c>
      <c r="K62" s="6">
        <v>0</v>
      </c>
      <c r="L62" s="6">
        <v>4.9379456033799798E-2</v>
      </c>
      <c r="M62" s="6">
        <v>5.4396620015843703E-3</v>
      </c>
      <c r="N62" s="5">
        <v>1</v>
      </c>
      <c r="O62" s="5">
        <v>3</v>
      </c>
      <c r="P62" s="5">
        <v>0</v>
      </c>
      <c r="Q62" s="5">
        <v>0</v>
      </c>
    </row>
    <row r="63" spans="1:17" x14ac:dyDescent="0.3">
      <c r="A63" s="2" t="s">
        <v>255</v>
      </c>
      <c r="B63" s="3" t="s">
        <v>731</v>
      </c>
      <c r="C63" s="3" t="s">
        <v>732</v>
      </c>
      <c r="D63" s="5">
        <v>36</v>
      </c>
      <c r="E63" s="6">
        <v>0.70737252354660596</v>
      </c>
      <c r="F63" s="6">
        <v>0.47561801557737898</v>
      </c>
      <c r="G63" s="6">
        <v>0.49664747714189</v>
      </c>
      <c r="H63" s="6">
        <v>1.7609210971892999E-3</v>
      </c>
      <c r="I63" s="6">
        <v>0.210667118184897</v>
      </c>
      <c r="J63" s="6">
        <v>1.7880121909922098E-2</v>
      </c>
      <c r="K63" s="6">
        <v>0</v>
      </c>
      <c r="L63" s="6">
        <v>0.27047070775482601</v>
      </c>
      <c r="M63" s="6">
        <v>2.57365391127667E-3</v>
      </c>
      <c r="N63" s="5">
        <v>2</v>
      </c>
      <c r="O63" s="5">
        <v>1</v>
      </c>
      <c r="P63" s="5">
        <v>0</v>
      </c>
      <c r="Q63" s="5">
        <v>0</v>
      </c>
    </row>
    <row r="64" spans="1:17" x14ac:dyDescent="0.3">
      <c r="A64" s="2" t="s">
        <v>258</v>
      </c>
      <c r="B64" s="3" t="s">
        <v>733</v>
      </c>
      <c r="C64" s="3" t="s">
        <v>734</v>
      </c>
      <c r="D64" s="5">
        <v>35</v>
      </c>
      <c r="E64" s="6">
        <v>0.72855373180551297</v>
      </c>
      <c r="F64" s="6">
        <v>0.43635543840177599</v>
      </c>
      <c r="G64" s="6">
        <v>0.45310765815760301</v>
      </c>
      <c r="H64" s="6">
        <v>3.1215316315205302E-3</v>
      </c>
      <c r="I64" s="6">
        <v>0.176505271920089</v>
      </c>
      <c r="J64" s="6">
        <v>3.33310210876804E-2</v>
      </c>
      <c r="K64" s="6">
        <v>0</v>
      </c>
      <c r="L64" s="6">
        <v>0.32980715871254201</v>
      </c>
      <c r="M64" s="6">
        <v>4.1273584905660403E-3</v>
      </c>
      <c r="N64" s="5">
        <v>0</v>
      </c>
      <c r="O64" s="5">
        <v>6</v>
      </c>
      <c r="P64" s="5">
        <v>1</v>
      </c>
      <c r="Q64" s="5">
        <v>0</v>
      </c>
    </row>
    <row r="65" spans="1:17" x14ac:dyDescent="0.3">
      <c r="A65" s="2" t="s">
        <v>262</v>
      </c>
      <c r="B65" s="3" t="s">
        <v>735</v>
      </c>
      <c r="C65" s="3" t="s">
        <v>736</v>
      </c>
      <c r="D65" s="5">
        <v>34</v>
      </c>
      <c r="E65" s="6">
        <v>0.691562172153669</v>
      </c>
      <c r="F65" s="6">
        <v>0.451270369721395</v>
      </c>
      <c r="G65" s="6">
        <v>0.48782197301559499</v>
      </c>
      <c r="H65" s="6">
        <v>1.43332749255301E-2</v>
      </c>
      <c r="I65" s="6">
        <v>0.17928859295601901</v>
      </c>
      <c r="J65" s="6">
        <v>1.27212195549325E-2</v>
      </c>
      <c r="K65" s="6">
        <v>0</v>
      </c>
      <c r="L65" s="6">
        <v>0.30411775013141801</v>
      </c>
      <c r="M65" s="6">
        <v>1.71718941650604E-3</v>
      </c>
      <c r="N65" s="5">
        <v>1</v>
      </c>
      <c r="O65" s="5">
        <v>1</v>
      </c>
      <c r="P65" s="5">
        <v>4</v>
      </c>
      <c r="Q65" s="5">
        <v>1</v>
      </c>
    </row>
    <row r="66" spans="1:17" x14ac:dyDescent="0.3">
      <c r="A66" s="2" t="s">
        <v>268</v>
      </c>
      <c r="B66" s="3" t="s">
        <v>737</v>
      </c>
      <c r="C66" s="3" t="s">
        <v>738</v>
      </c>
      <c r="D66" s="5">
        <v>33</v>
      </c>
      <c r="E66" s="6">
        <v>0.67656477438136797</v>
      </c>
      <c r="F66" s="6">
        <v>0.61244257486024201</v>
      </c>
      <c r="G66" s="6">
        <v>0.63070792051807201</v>
      </c>
      <c r="H66" s="6">
        <v>0</v>
      </c>
      <c r="I66" s="6">
        <v>0.25383295511152898</v>
      </c>
      <c r="J66" s="6">
        <v>1.24536447667017E-2</v>
      </c>
      <c r="K66" s="6">
        <v>0</v>
      </c>
      <c r="L66" s="6">
        <v>9.8190070293906001E-2</v>
      </c>
      <c r="M66" s="6">
        <v>4.8154093097913303E-3</v>
      </c>
      <c r="N66" s="5">
        <v>3</v>
      </c>
      <c r="O66" s="5">
        <v>0</v>
      </c>
      <c r="P66" s="5">
        <v>0</v>
      </c>
      <c r="Q66" s="5">
        <v>0</v>
      </c>
    </row>
    <row r="67" spans="1:17" x14ac:dyDescent="0.3">
      <c r="A67" s="2" t="s">
        <v>272</v>
      </c>
      <c r="B67" s="3" t="s">
        <v>739</v>
      </c>
      <c r="C67" s="3" t="s">
        <v>740</v>
      </c>
      <c r="D67" s="5">
        <v>32</v>
      </c>
      <c r="E67" s="6">
        <v>0.64365946825006604</v>
      </c>
      <c r="F67" s="6">
        <v>0.51755872288115901</v>
      </c>
      <c r="G67" s="6">
        <v>0.540516296222466</v>
      </c>
      <c r="H67" s="6">
        <v>3.3223695139373401E-5</v>
      </c>
      <c r="I67" s="6">
        <v>0.28263397455064898</v>
      </c>
      <c r="J67" s="6">
        <v>2.4884547659390702E-2</v>
      </c>
      <c r="K67" s="6">
        <v>0</v>
      </c>
      <c r="L67" s="6">
        <v>0.14761287750423599</v>
      </c>
      <c r="M67" s="6">
        <v>4.3190803681185403E-3</v>
      </c>
      <c r="N67" s="5">
        <v>3</v>
      </c>
      <c r="O67" s="5">
        <v>4</v>
      </c>
      <c r="P67" s="5">
        <v>0</v>
      </c>
      <c r="Q67" s="5">
        <v>0</v>
      </c>
    </row>
    <row r="68" spans="1:17" x14ac:dyDescent="0.3">
      <c r="A68" s="2" t="s">
        <v>275</v>
      </c>
      <c r="B68" s="3" t="s">
        <v>741</v>
      </c>
      <c r="C68" s="3" t="s">
        <v>742</v>
      </c>
      <c r="D68" s="5">
        <v>31</v>
      </c>
      <c r="E68" s="6">
        <v>0.68047474085777004</v>
      </c>
      <c r="F68" s="6">
        <v>0.55550735760285597</v>
      </c>
      <c r="G68" s="6">
        <v>0.57048950582268299</v>
      </c>
      <c r="H68" s="6">
        <v>1.0310654342820901E-2</v>
      </c>
      <c r="I68" s="6">
        <v>0.263872668424038</v>
      </c>
      <c r="J68" s="6">
        <v>8.1417464713537304E-3</v>
      </c>
      <c r="K68" s="6">
        <v>0</v>
      </c>
      <c r="L68" s="6">
        <v>0.13704160966331899</v>
      </c>
      <c r="M68" s="6">
        <v>1.0143815275784999E-2</v>
      </c>
      <c r="N68" s="5">
        <v>3</v>
      </c>
      <c r="O68" s="5">
        <v>0</v>
      </c>
      <c r="P68" s="5">
        <v>5</v>
      </c>
      <c r="Q68" s="5">
        <v>1</v>
      </c>
    </row>
    <row r="69" spans="1:17" x14ac:dyDescent="0.3">
      <c r="A69" s="2" t="s">
        <v>279</v>
      </c>
      <c r="B69" s="3" t="s">
        <v>743</v>
      </c>
      <c r="C69" s="3" t="s">
        <v>744</v>
      </c>
      <c r="D69" s="5">
        <v>30</v>
      </c>
      <c r="E69" s="6">
        <v>0.75293101881305102</v>
      </c>
      <c r="F69" s="6">
        <v>0.45535862734013899</v>
      </c>
      <c r="G69" s="6">
        <v>0.46892561433844299</v>
      </c>
      <c r="H69" s="6">
        <v>4.0900475509593297E-2</v>
      </c>
      <c r="I69" s="6">
        <v>0.17567253017657</v>
      </c>
      <c r="J69" s="6">
        <v>4.1133242443387799E-2</v>
      </c>
      <c r="K69" s="6">
        <v>0</v>
      </c>
      <c r="L69" s="6">
        <v>0.26994313836331602</v>
      </c>
      <c r="M69" s="6">
        <v>3.42499916868952E-3</v>
      </c>
      <c r="N69" s="5">
        <v>6</v>
      </c>
      <c r="O69" s="5">
        <v>8</v>
      </c>
      <c r="P69" s="5">
        <v>6</v>
      </c>
      <c r="Q69" s="5">
        <v>0</v>
      </c>
    </row>
    <row r="70" spans="1:17" x14ac:dyDescent="0.3">
      <c r="A70" s="2" t="s">
        <v>283</v>
      </c>
      <c r="B70" s="3" t="s">
        <v>745</v>
      </c>
      <c r="C70" s="3" t="s">
        <v>746</v>
      </c>
      <c r="D70" s="5">
        <v>29</v>
      </c>
      <c r="E70" s="6">
        <v>0.68920229532045596</v>
      </c>
      <c r="F70" s="6">
        <v>0.53445058742225304</v>
      </c>
      <c r="G70" s="6">
        <v>0.55725639253628201</v>
      </c>
      <c r="H70" s="6">
        <v>1.3994471319972401E-2</v>
      </c>
      <c r="I70" s="6">
        <v>0.25884588804422898</v>
      </c>
      <c r="J70" s="6">
        <v>1.8071872840359399E-2</v>
      </c>
      <c r="K70" s="6">
        <v>0</v>
      </c>
      <c r="L70" s="6">
        <v>0.14523151347615701</v>
      </c>
      <c r="M70" s="6">
        <v>6.5998617829993098E-3</v>
      </c>
      <c r="N70" s="5">
        <v>1</v>
      </c>
      <c r="O70" s="5">
        <v>2</v>
      </c>
      <c r="P70" s="5">
        <v>2</v>
      </c>
      <c r="Q70" s="5">
        <v>1</v>
      </c>
    </row>
    <row r="71" spans="1:17" x14ac:dyDescent="0.3">
      <c r="A71" s="2" t="s">
        <v>284</v>
      </c>
      <c r="B71" s="3" t="s">
        <v>747</v>
      </c>
      <c r="C71" s="3" t="s">
        <v>748</v>
      </c>
      <c r="D71" s="5">
        <v>28</v>
      </c>
      <c r="E71" s="6">
        <v>0.74780976220275297</v>
      </c>
      <c r="F71" s="6">
        <v>0.55914916459773201</v>
      </c>
      <c r="G71" s="6">
        <v>0.57495135207676296</v>
      </c>
      <c r="H71" s="6">
        <v>9.2263302690733396E-3</v>
      </c>
      <c r="I71" s="6">
        <v>0.19673891162853099</v>
      </c>
      <c r="J71" s="6">
        <v>1.5768637187143501E-2</v>
      </c>
      <c r="K71" s="6">
        <v>0</v>
      </c>
      <c r="L71" s="6">
        <v>0.19610145608266799</v>
      </c>
      <c r="M71" s="6">
        <v>7.2133127558209704E-3</v>
      </c>
      <c r="N71" s="5">
        <v>3</v>
      </c>
      <c r="O71" s="5">
        <v>1</v>
      </c>
      <c r="P71" s="5">
        <v>2</v>
      </c>
      <c r="Q71" s="5">
        <v>2</v>
      </c>
    </row>
    <row r="72" spans="1:17" x14ac:dyDescent="0.3">
      <c r="A72" s="2" t="s">
        <v>289</v>
      </c>
      <c r="B72" s="3" t="s">
        <v>749</v>
      </c>
      <c r="C72" s="3" t="s">
        <v>750</v>
      </c>
      <c r="D72" s="5">
        <v>29</v>
      </c>
      <c r="E72" s="6">
        <v>0.69346529834097304</v>
      </c>
      <c r="F72" s="6">
        <v>0.56847106148351101</v>
      </c>
      <c r="G72" s="6">
        <v>0.56871380518084402</v>
      </c>
      <c r="H72" s="6">
        <v>7.1089225647605501E-3</v>
      </c>
      <c r="I72" s="6">
        <v>0.25838332697576</v>
      </c>
      <c r="J72" s="6">
        <v>1.7026736484377698E-2</v>
      </c>
      <c r="K72" s="6">
        <v>0</v>
      </c>
      <c r="L72" s="6">
        <v>0.14540347470263901</v>
      </c>
      <c r="M72" s="6">
        <v>3.3637340916184101E-3</v>
      </c>
      <c r="N72" s="5">
        <v>1</v>
      </c>
      <c r="O72" s="5">
        <v>0</v>
      </c>
      <c r="P72" s="5">
        <v>1</v>
      </c>
      <c r="Q72" s="5">
        <v>0</v>
      </c>
    </row>
    <row r="73" spans="1:17" x14ac:dyDescent="0.3">
      <c r="A73" s="2" t="s">
        <v>291</v>
      </c>
      <c r="B73" s="3" t="s">
        <v>751</v>
      </c>
      <c r="C73" s="3" t="s">
        <v>752</v>
      </c>
      <c r="D73" s="5">
        <v>30</v>
      </c>
      <c r="E73" s="6">
        <v>0.70033743809982896</v>
      </c>
      <c r="F73" s="6">
        <v>0.47509108744394601</v>
      </c>
      <c r="G73" s="6">
        <v>0.48952494394618801</v>
      </c>
      <c r="H73" s="6">
        <v>1.3663116591928299E-2</v>
      </c>
      <c r="I73" s="6">
        <v>0.23584641255605401</v>
      </c>
      <c r="J73" s="6">
        <v>5.6684417040358703E-2</v>
      </c>
      <c r="K73" s="6">
        <v>0</v>
      </c>
      <c r="L73" s="6">
        <v>0.201898822869955</v>
      </c>
      <c r="M73" s="6">
        <v>2.3822869955157002E-3</v>
      </c>
      <c r="N73" s="5">
        <v>1</v>
      </c>
      <c r="O73" s="5">
        <v>8</v>
      </c>
      <c r="P73" s="5">
        <v>4</v>
      </c>
      <c r="Q73" s="5">
        <v>0</v>
      </c>
    </row>
    <row r="74" spans="1:17" x14ac:dyDescent="0.3">
      <c r="A74" s="2" t="s">
        <v>295</v>
      </c>
      <c r="B74" s="3" t="s">
        <v>753</v>
      </c>
      <c r="C74" s="3" t="s">
        <v>754</v>
      </c>
      <c r="D74" s="5">
        <v>31</v>
      </c>
      <c r="E74" s="6">
        <v>0.67214252660805196</v>
      </c>
      <c r="F74" s="6">
        <v>0.47578531804104401</v>
      </c>
      <c r="G74" s="6">
        <v>0.48072014430112597</v>
      </c>
      <c r="H74" s="6">
        <v>0</v>
      </c>
      <c r="I74" s="6">
        <v>0.234489330565293</v>
      </c>
      <c r="J74" s="6">
        <v>1.3613313820916901E-2</v>
      </c>
      <c r="K74" s="6">
        <v>0</v>
      </c>
      <c r="L74" s="6">
        <v>0.26933941394684002</v>
      </c>
      <c r="M74" s="6">
        <v>1.8377973658237801E-3</v>
      </c>
      <c r="N74" s="5">
        <v>0</v>
      </c>
      <c r="O74" s="5">
        <v>1</v>
      </c>
      <c r="P74" s="5">
        <v>0</v>
      </c>
      <c r="Q74" s="5">
        <v>0</v>
      </c>
    </row>
    <row r="75" spans="1:17" x14ac:dyDescent="0.3">
      <c r="A75" s="2" t="s">
        <v>299</v>
      </c>
      <c r="B75" s="3" t="s">
        <v>755</v>
      </c>
      <c r="C75" s="3" t="s">
        <v>756</v>
      </c>
      <c r="D75" s="5">
        <v>32</v>
      </c>
      <c r="E75" s="6">
        <v>0.72491168714861398</v>
      </c>
      <c r="F75" s="6">
        <v>0.46898271622042897</v>
      </c>
      <c r="G75" s="6">
        <v>0.48404973849191202</v>
      </c>
      <c r="H75" s="6">
        <v>0</v>
      </c>
      <c r="I75" s="6">
        <v>0.187870181150636</v>
      </c>
      <c r="J75" s="6">
        <v>2.0608915520764801E-2</v>
      </c>
      <c r="K75" s="6">
        <v>0</v>
      </c>
      <c r="L75" s="6">
        <v>0.304319213051159</v>
      </c>
      <c r="M75" s="6">
        <v>3.1519517855287298E-3</v>
      </c>
      <c r="N75" s="5">
        <v>0</v>
      </c>
      <c r="O75" s="5">
        <v>3</v>
      </c>
      <c r="P75" s="5">
        <v>0</v>
      </c>
      <c r="Q75" s="5">
        <v>1</v>
      </c>
    </row>
    <row r="76" spans="1:17" x14ac:dyDescent="0.3">
      <c r="A76" s="2" t="s">
        <v>302</v>
      </c>
      <c r="B76" s="3" t="s">
        <v>757</v>
      </c>
      <c r="C76" s="3" t="s">
        <v>758</v>
      </c>
      <c r="D76" s="5">
        <v>33</v>
      </c>
      <c r="E76" s="6">
        <v>0.70116905293576803</v>
      </c>
      <c r="F76" s="6">
        <v>0.51361161524500898</v>
      </c>
      <c r="G76" s="6">
        <v>0.52060227196343301</v>
      </c>
      <c r="H76" s="6">
        <v>2.0501445183840799E-3</v>
      </c>
      <c r="I76" s="6">
        <v>0.21583652618135399</v>
      </c>
      <c r="J76" s="6">
        <v>2.3156550379780899E-2</v>
      </c>
      <c r="K76" s="6">
        <v>0</v>
      </c>
      <c r="L76" s="6">
        <v>0.23277542515292099</v>
      </c>
      <c r="M76" s="6">
        <v>5.5790818041271803E-3</v>
      </c>
      <c r="N76" s="5">
        <v>2</v>
      </c>
      <c r="O76" s="5">
        <v>1</v>
      </c>
      <c r="P76" s="5">
        <v>1</v>
      </c>
      <c r="Q76" s="5">
        <v>0</v>
      </c>
    </row>
    <row r="77" spans="1:17" x14ac:dyDescent="0.3">
      <c r="A77" s="2" t="s">
        <v>305</v>
      </c>
      <c r="B77" s="3" t="s">
        <v>759</v>
      </c>
      <c r="C77" s="3" t="s">
        <v>760</v>
      </c>
      <c r="D77" s="5">
        <v>34</v>
      </c>
      <c r="E77" s="6">
        <v>0.75159773302785504</v>
      </c>
      <c r="F77" s="6">
        <v>0.525112224318522</v>
      </c>
      <c r="G77" s="6">
        <v>0.55123284106434201</v>
      </c>
      <c r="H77" s="6">
        <v>5.4323075922191096E-3</v>
      </c>
      <c r="I77" s="6">
        <v>0.196603994535164</v>
      </c>
      <c r="J77" s="6">
        <v>5.1590657732092898E-2</v>
      </c>
      <c r="K77" s="6">
        <v>0</v>
      </c>
      <c r="L77" s="6">
        <v>0.19263548240192599</v>
      </c>
      <c r="M77" s="6">
        <v>2.50471667425672E-3</v>
      </c>
      <c r="N77" s="5">
        <v>3</v>
      </c>
      <c r="O77" s="5">
        <v>12</v>
      </c>
      <c r="P77" s="5">
        <v>2</v>
      </c>
      <c r="Q77" s="5">
        <v>0</v>
      </c>
    </row>
    <row r="78" spans="1:17" x14ac:dyDescent="0.3">
      <c r="A78" s="2" t="s">
        <v>309</v>
      </c>
      <c r="B78" s="3" t="s">
        <v>761</v>
      </c>
      <c r="C78" s="3" t="s">
        <v>762</v>
      </c>
      <c r="D78" s="5">
        <v>35</v>
      </c>
      <c r="E78" s="6">
        <v>0.73398097012442598</v>
      </c>
      <c r="F78" s="6">
        <v>0.348600086352918</v>
      </c>
      <c r="G78" s="6">
        <v>0.348600086352918</v>
      </c>
      <c r="H78" s="6">
        <v>0</v>
      </c>
      <c r="I78" s="6">
        <v>0.13109037164967299</v>
      </c>
      <c r="J78" s="6">
        <v>1.7768773456441601E-2</v>
      </c>
      <c r="K78" s="6">
        <v>0</v>
      </c>
      <c r="L78" s="6">
        <v>0.501046198810987</v>
      </c>
      <c r="M78" s="6">
        <v>1.49456972998107E-3</v>
      </c>
      <c r="N78" s="5">
        <v>0</v>
      </c>
      <c r="O78" s="5">
        <v>3</v>
      </c>
      <c r="P78" s="5">
        <v>0</v>
      </c>
      <c r="Q78" s="5">
        <v>0</v>
      </c>
    </row>
    <row r="79" spans="1:17" x14ac:dyDescent="0.3">
      <c r="A79" s="2" t="s">
        <v>315</v>
      </c>
      <c r="B79" s="3" t="s">
        <v>763</v>
      </c>
      <c r="C79" s="3" t="s">
        <v>764</v>
      </c>
      <c r="D79" s="5">
        <v>36</v>
      </c>
      <c r="E79" s="6">
        <v>0.71205509341333695</v>
      </c>
      <c r="F79" s="6">
        <v>0.314709762532982</v>
      </c>
      <c r="G79" s="6">
        <v>0.323779683377309</v>
      </c>
      <c r="H79" s="6">
        <v>3.2981530343007901E-5</v>
      </c>
      <c r="I79" s="6">
        <v>0.137598944591029</v>
      </c>
      <c r="J79" s="6">
        <v>2.0613456464379901E-2</v>
      </c>
      <c r="K79" s="6">
        <v>0</v>
      </c>
      <c r="L79" s="6">
        <v>0.51668865435356204</v>
      </c>
      <c r="M79" s="6">
        <v>1.28627968337731E-3</v>
      </c>
      <c r="N79" s="5">
        <v>1</v>
      </c>
      <c r="O79" s="5">
        <v>1</v>
      </c>
      <c r="P79" s="5">
        <v>0</v>
      </c>
      <c r="Q79" s="5">
        <v>1</v>
      </c>
    </row>
    <row r="80" spans="1:17" x14ac:dyDescent="0.3">
      <c r="A80" s="2" t="s">
        <v>320</v>
      </c>
      <c r="B80" s="3" t="s">
        <v>765</v>
      </c>
      <c r="C80" s="3" t="s">
        <v>766</v>
      </c>
      <c r="D80" s="5">
        <v>37</v>
      </c>
      <c r="E80" s="6">
        <v>0.74354986641145304</v>
      </c>
      <c r="F80" s="6">
        <v>0.55600710333993597</v>
      </c>
      <c r="G80" s="6">
        <v>0.56334949798511003</v>
      </c>
      <c r="H80" s="6">
        <v>6.8301345536507104E-5</v>
      </c>
      <c r="I80" s="6">
        <v>0.216378662659654</v>
      </c>
      <c r="J80" s="6">
        <v>7.3355645106208595E-2</v>
      </c>
      <c r="K80" s="6">
        <v>0</v>
      </c>
      <c r="L80" s="6">
        <v>0.144286592445871</v>
      </c>
      <c r="M80" s="6">
        <v>2.5613004576190198E-3</v>
      </c>
      <c r="N80" s="5">
        <v>1</v>
      </c>
      <c r="O80" s="5">
        <v>12</v>
      </c>
      <c r="P80" s="5">
        <v>0</v>
      </c>
      <c r="Q80" s="5">
        <v>0</v>
      </c>
    </row>
    <row r="81" spans="1:17" x14ac:dyDescent="0.3">
      <c r="A81" s="2" t="s">
        <v>323</v>
      </c>
      <c r="B81" s="3" t="s">
        <v>767</v>
      </c>
      <c r="C81" s="3" t="s">
        <v>768</v>
      </c>
      <c r="D81" s="5">
        <v>38</v>
      </c>
      <c r="E81" s="6">
        <v>0.72713986456861701</v>
      </c>
      <c r="F81" s="6">
        <v>0.46221628838451301</v>
      </c>
      <c r="G81" s="6">
        <v>0.46929238985313698</v>
      </c>
      <c r="H81" s="6">
        <v>1.0013351134846499E-4</v>
      </c>
      <c r="I81" s="6">
        <v>0.17523364485981299</v>
      </c>
      <c r="J81" s="6">
        <v>2.8805073431241699E-2</v>
      </c>
      <c r="K81" s="6">
        <v>0</v>
      </c>
      <c r="L81" s="6">
        <v>0.31535380507343103</v>
      </c>
      <c r="M81" s="6">
        <v>1.1214953271028E-2</v>
      </c>
      <c r="N81" s="5">
        <v>2</v>
      </c>
      <c r="O81" s="5">
        <v>5</v>
      </c>
      <c r="P81" s="5">
        <v>0</v>
      </c>
      <c r="Q81" s="5">
        <v>1</v>
      </c>
    </row>
    <row r="82" spans="1:17" x14ac:dyDescent="0.3">
      <c r="A82" s="2" t="s">
        <v>328</v>
      </c>
      <c r="B82" s="3" t="s">
        <v>769</v>
      </c>
      <c r="C82" s="3" t="s">
        <v>770</v>
      </c>
      <c r="D82" s="5">
        <v>39</v>
      </c>
      <c r="E82" s="6">
        <v>0.72254934031185303</v>
      </c>
      <c r="F82" s="6">
        <v>0.39075685654008402</v>
      </c>
      <c r="G82" s="6">
        <v>0.39481144514767902</v>
      </c>
      <c r="H82" s="6">
        <v>1.8130274261603399E-3</v>
      </c>
      <c r="I82" s="6">
        <v>0.16561181434599101</v>
      </c>
      <c r="J82" s="6">
        <v>4.02492088607595E-2</v>
      </c>
      <c r="K82" s="6">
        <v>0</v>
      </c>
      <c r="L82" s="6">
        <v>0.39560258438818602</v>
      </c>
      <c r="M82" s="6">
        <v>1.9119198312236301E-3</v>
      </c>
      <c r="N82" s="5">
        <v>3</v>
      </c>
      <c r="O82" s="5">
        <v>5</v>
      </c>
      <c r="P82" s="5">
        <v>1</v>
      </c>
      <c r="Q82" s="5">
        <v>0</v>
      </c>
    </row>
    <row r="83" spans="1:17" x14ac:dyDescent="0.3">
      <c r="A83" s="2" t="s">
        <v>333</v>
      </c>
      <c r="B83" s="3" t="s">
        <v>771</v>
      </c>
      <c r="C83" s="3" t="s">
        <v>772</v>
      </c>
      <c r="D83" s="5">
        <v>40</v>
      </c>
      <c r="E83" s="6">
        <v>0.73840582531832899</v>
      </c>
      <c r="F83" s="6">
        <v>0.54713623850130899</v>
      </c>
      <c r="G83" s="6">
        <v>0.55885315248774603</v>
      </c>
      <c r="H83" s="6">
        <v>3.05512656952931E-3</v>
      </c>
      <c r="I83" s="6">
        <v>0.21963338481165601</v>
      </c>
      <c r="J83" s="6">
        <v>7.4733096085409303E-2</v>
      </c>
      <c r="K83" s="6">
        <v>0</v>
      </c>
      <c r="L83" s="6">
        <v>0.13805143355939001</v>
      </c>
      <c r="M83" s="6">
        <v>5.6738064862687197E-3</v>
      </c>
      <c r="N83" s="5">
        <v>0</v>
      </c>
      <c r="O83" s="5">
        <v>8</v>
      </c>
      <c r="P83" s="5">
        <v>1</v>
      </c>
      <c r="Q83" s="5">
        <v>0</v>
      </c>
    </row>
    <row r="84" spans="1:17" x14ac:dyDescent="0.3">
      <c r="A84" s="2" t="s">
        <v>337</v>
      </c>
      <c r="B84" s="3" t="s">
        <v>773</v>
      </c>
      <c r="C84" s="3" t="s">
        <v>774</v>
      </c>
      <c r="D84" s="5">
        <v>41</v>
      </c>
      <c r="E84" s="6">
        <v>0.72135956506434096</v>
      </c>
      <c r="F84" s="6">
        <v>0.61457229509993805</v>
      </c>
      <c r="G84" s="6">
        <v>0.61786092739430698</v>
      </c>
      <c r="H84" s="6">
        <v>1.46161435305295E-4</v>
      </c>
      <c r="I84" s="6">
        <v>0.256294076807834</v>
      </c>
      <c r="J84" s="6">
        <v>5.5906749004275197E-2</v>
      </c>
      <c r="K84" s="6">
        <v>0</v>
      </c>
      <c r="L84" s="6">
        <v>6.6503453063909104E-2</v>
      </c>
      <c r="M84" s="6">
        <v>3.2886322943691299E-3</v>
      </c>
      <c r="N84" s="5">
        <v>4</v>
      </c>
      <c r="O84" s="5">
        <v>6</v>
      </c>
      <c r="P84" s="5">
        <v>0</v>
      </c>
      <c r="Q84" s="5">
        <v>0</v>
      </c>
    </row>
    <row r="85" spans="1:17" x14ac:dyDescent="0.3">
      <c r="A85" s="2" t="s">
        <v>339</v>
      </c>
      <c r="B85" s="3" t="s">
        <v>775</v>
      </c>
      <c r="C85" s="3" t="s">
        <v>776</v>
      </c>
      <c r="D85" s="5">
        <v>42</v>
      </c>
      <c r="E85" s="6">
        <v>0.71945540647198103</v>
      </c>
      <c r="F85" s="6">
        <v>0.55335578460387103</v>
      </c>
      <c r="G85" s="6">
        <v>0.56638432493111501</v>
      </c>
      <c r="H85" s="6">
        <v>2.0410245943463601E-4</v>
      </c>
      <c r="I85" s="6">
        <v>0.23444569173725199</v>
      </c>
      <c r="J85" s="6">
        <v>5.3576895601591998E-2</v>
      </c>
      <c r="K85" s="6">
        <v>0</v>
      </c>
      <c r="L85" s="6">
        <v>0.14028642378473999</v>
      </c>
      <c r="M85" s="6">
        <v>5.1025614858658998E-3</v>
      </c>
      <c r="N85" s="5">
        <v>1</v>
      </c>
      <c r="O85" s="5">
        <v>7</v>
      </c>
      <c r="P85" s="5">
        <v>0</v>
      </c>
      <c r="Q85" s="5">
        <v>0</v>
      </c>
    </row>
    <row r="86" spans="1:17" x14ac:dyDescent="0.3">
      <c r="A86" s="2" t="s">
        <v>342</v>
      </c>
      <c r="B86" s="3" t="s">
        <v>777</v>
      </c>
      <c r="C86" s="3" t="s">
        <v>778</v>
      </c>
      <c r="D86" s="5">
        <v>43</v>
      </c>
      <c r="E86" s="6">
        <v>0.729077167859984</v>
      </c>
      <c r="F86" s="6">
        <v>0.611363636363636</v>
      </c>
      <c r="G86" s="6">
        <v>0.61907713498622596</v>
      </c>
      <c r="H86" s="6">
        <v>0</v>
      </c>
      <c r="I86" s="6">
        <v>0.22534435261708</v>
      </c>
      <c r="J86" s="6">
        <v>1.20867768595041E-2</v>
      </c>
      <c r="K86" s="6">
        <v>0</v>
      </c>
      <c r="L86" s="6">
        <v>0.14132231404958701</v>
      </c>
      <c r="M86" s="6">
        <v>2.1694214876033001E-3</v>
      </c>
      <c r="N86" s="5">
        <v>2</v>
      </c>
      <c r="O86" s="5">
        <v>1</v>
      </c>
      <c r="P86" s="5">
        <v>0</v>
      </c>
      <c r="Q86" s="5">
        <v>0</v>
      </c>
    </row>
    <row r="87" spans="1:17" x14ac:dyDescent="0.3">
      <c r="A87" s="2" t="s">
        <v>345</v>
      </c>
      <c r="B87" s="3" t="s">
        <v>779</v>
      </c>
      <c r="C87" s="3" t="s">
        <v>780</v>
      </c>
      <c r="D87" s="5">
        <v>44</v>
      </c>
      <c r="E87" s="6">
        <v>0.70183605986773401</v>
      </c>
      <c r="F87" s="6">
        <v>0.51217732689434703</v>
      </c>
      <c r="G87" s="6">
        <v>0.53271028037383195</v>
      </c>
      <c r="H87" s="6">
        <v>2.7446756766146699E-3</v>
      </c>
      <c r="I87" s="6">
        <v>0.23548622450752199</v>
      </c>
      <c r="J87" s="6">
        <v>2.4980022930201899E-2</v>
      </c>
      <c r="K87" s="6">
        <v>0</v>
      </c>
      <c r="L87" s="6">
        <v>0.202411145467811</v>
      </c>
      <c r="M87" s="6">
        <v>1.66765104401904E-3</v>
      </c>
      <c r="N87" s="5">
        <v>2</v>
      </c>
      <c r="O87" s="5">
        <v>4</v>
      </c>
      <c r="P87" s="5">
        <v>1</v>
      </c>
      <c r="Q87" s="5">
        <v>0</v>
      </c>
    </row>
    <row r="88" spans="1:17" x14ac:dyDescent="0.3">
      <c r="A88" s="2" t="s">
        <v>350</v>
      </c>
      <c r="B88" s="3" t="s">
        <v>781</v>
      </c>
      <c r="C88" s="3" t="s">
        <v>782</v>
      </c>
      <c r="D88" s="5">
        <v>45</v>
      </c>
      <c r="E88" s="6">
        <v>0.69814265646948603</v>
      </c>
      <c r="F88" s="6">
        <v>0.56029910728991705</v>
      </c>
      <c r="G88" s="6">
        <v>0.57551800243765805</v>
      </c>
      <c r="H88" s="6">
        <v>5.6000263530651896E-4</v>
      </c>
      <c r="I88" s="6">
        <v>0.24989294067266199</v>
      </c>
      <c r="J88" s="6">
        <v>1.3308297921402E-2</v>
      </c>
      <c r="K88" s="6">
        <v>0</v>
      </c>
      <c r="L88" s="6">
        <v>0.15640544190796199</v>
      </c>
      <c r="M88" s="6">
        <v>4.3153144250090598E-3</v>
      </c>
      <c r="N88" s="5">
        <v>1</v>
      </c>
      <c r="O88" s="5">
        <v>1</v>
      </c>
      <c r="P88" s="5">
        <v>0</v>
      </c>
      <c r="Q88" s="5">
        <v>0</v>
      </c>
    </row>
    <row r="89" spans="1:17" x14ac:dyDescent="0.3">
      <c r="A89" s="2" t="s">
        <v>354</v>
      </c>
      <c r="B89" s="3" t="s">
        <v>783</v>
      </c>
      <c r="C89" s="3" t="s">
        <v>784</v>
      </c>
      <c r="D89" s="5">
        <v>46</v>
      </c>
      <c r="E89" s="6">
        <v>0.68410599234607405</v>
      </c>
      <c r="F89" s="6">
        <v>0.42891793558819602</v>
      </c>
      <c r="G89" s="6">
        <v>0.44444818757579801</v>
      </c>
      <c r="H89" s="6">
        <v>2.0212909311413601E-4</v>
      </c>
      <c r="I89" s="6">
        <v>0.21048376229618601</v>
      </c>
      <c r="J89" s="6">
        <v>3.10941921573912E-2</v>
      </c>
      <c r="K89" s="6">
        <v>0</v>
      </c>
      <c r="L89" s="6">
        <v>0.31181781431074002</v>
      </c>
      <c r="M89" s="6">
        <v>1.9539145667699801E-3</v>
      </c>
      <c r="N89" s="5">
        <v>1</v>
      </c>
      <c r="O89" s="5">
        <v>4</v>
      </c>
      <c r="P89" s="5">
        <v>0</v>
      </c>
      <c r="Q89" s="5">
        <v>0</v>
      </c>
    </row>
    <row r="90" spans="1:17" x14ac:dyDescent="0.3">
      <c r="A90" s="2" t="s">
        <v>360</v>
      </c>
      <c r="B90" s="3" t="s">
        <v>785</v>
      </c>
      <c r="C90" s="3" t="s">
        <v>786</v>
      </c>
      <c r="D90" s="5">
        <v>47</v>
      </c>
      <c r="E90" s="6">
        <v>0.64120625137574305</v>
      </c>
      <c r="F90" s="6">
        <v>9.4547987000066294E-2</v>
      </c>
      <c r="G90" s="6">
        <v>9.4547987000066294E-2</v>
      </c>
      <c r="H90" s="6">
        <v>0</v>
      </c>
      <c r="I90" s="6">
        <v>4.6428334549313499E-2</v>
      </c>
      <c r="J90" s="6">
        <v>2.05611195861246E-3</v>
      </c>
      <c r="K90" s="6">
        <v>0</v>
      </c>
      <c r="L90" s="6">
        <v>0.85225840684486298</v>
      </c>
      <c r="M90" s="6">
        <v>4.70915964714466E-3</v>
      </c>
      <c r="N90" s="5">
        <v>1</v>
      </c>
      <c r="O90" s="5">
        <v>0</v>
      </c>
      <c r="P90" s="5">
        <v>0</v>
      </c>
      <c r="Q90" s="5">
        <v>0</v>
      </c>
    </row>
    <row r="91" spans="1:17" x14ac:dyDescent="0.3">
      <c r="A91" s="2" t="s">
        <v>367</v>
      </c>
      <c r="B91" s="3" t="s">
        <v>787</v>
      </c>
      <c r="C91" s="3" t="s">
        <v>788</v>
      </c>
      <c r="D91" s="5">
        <v>48</v>
      </c>
      <c r="E91" s="6">
        <v>0.76121892672606695</v>
      </c>
      <c r="F91" s="6">
        <v>0.61021533340268397</v>
      </c>
      <c r="G91" s="6">
        <v>0.61770519088733999</v>
      </c>
      <c r="H91" s="6">
        <v>2.01116543569472E-3</v>
      </c>
      <c r="I91" s="6">
        <v>0.19428551614133599</v>
      </c>
      <c r="J91" s="6">
        <v>2.9057873019175399E-2</v>
      </c>
      <c r="K91" s="6">
        <v>0</v>
      </c>
      <c r="L91" s="6">
        <v>0.149935850757655</v>
      </c>
      <c r="M91" s="6">
        <v>7.0044037587988503E-3</v>
      </c>
      <c r="N91" s="5">
        <v>1</v>
      </c>
      <c r="O91" s="5">
        <v>5</v>
      </c>
      <c r="P91" s="5">
        <v>1</v>
      </c>
      <c r="Q91" s="5">
        <v>0</v>
      </c>
    </row>
    <row r="92" spans="1:17" x14ac:dyDescent="0.3">
      <c r="A92" s="2" t="s">
        <v>371</v>
      </c>
      <c r="B92" s="3" t="s">
        <v>789</v>
      </c>
      <c r="C92" s="3" t="s">
        <v>790</v>
      </c>
      <c r="D92" s="5">
        <v>49</v>
      </c>
      <c r="E92" s="6">
        <v>0.771724168553794</v>
      </c>
      <c r="F92" s="6">
        <v>0.51260926353863201</v>
      </c>
      <c r="G92" s="6">
        <v>0.53709099434006502</v>
      </c>
      <c r="H92" s="6">
        <v>0</v>
      </c>
      <c r="I92" s="6">
        <v>0.15596637529723001</v>
      </c>
      <c r="J92" s="6">
        <v>4.4978063565424199E-2</v>
      </c>
      <c r="K92" s="6">
        <v>0</v>
      </c>
      <c r="L92" s="6">
        <v>0.25436216886030999</v>
      </c>
      <c r="M92" s="6">
        <v>7.6023979369704304E-3</v>
      </c>
      <c r="N92" s="5">
        <v>3</v>
      </c>
      <c r="O92" s="5">
        <v>8</v>
      </c>
      <c r="P92" s="5">
        <v>0</v>
      </c>
      <c r="Q92" s="5">
        <v>1</v>
      </c>
    </row>
    <row r="93" spans="1:17" x14ac:dyDescent="0.3">
      <c r="A93" s="2" t="s">
        <v>374</v>
      </c>
      <c r="B93" s="3" t="s">
        <v>791</v>
      </c>
      <c r="C93" s="3" t="s">
        <v>792</v>
      </c>
      <c r="D93" s="5">
        <v>50</v>
      </c>
      <c r="E93" s="6">
        <v>0.70603478060578095</v>
      </c>
      <c r="F93" s="6">
        <v>0.62426796562859199</v>
      </c>
      <c r="G93" s="6">
        <v>0.62596464342400504</v>
      </c>
      <c r="H93" s="6">
        <v>0</v>
      </c>
      <c r="I93" s="6">
        <v>0.243883750205243</v>
      </c>
      <c r="J93" s="6">
        <v>4.50987904329265E-2</v>
      </c>
      <c r="K93" s="6">
        <v>0</v>
      </c>
      <c r="L93" s="6">
        <v>8.0291171802309699E-2</v>
      </c>
      <c r="M93" s="6">
        <v>4.7616441355153001E-3</v>
      </c>
      <c r="N93" s="5">
        <v>1</v>
      </c>
      <c r="O93" s="5">
        <v>4</v>
      </c>
      <c r="P93" s="5">
        <v>0</v>
      </c>
      <c r="Q93" s="5">
        <v>0</v>
      </c>
    </row>
    <row r="94" spans="1:17" x14ac:dyDescent="0.3">
      <c r="A94" s="2" t="s">
        <v>379</v>
      </c>
      <c r="B94" s="3" t="s">
        <v>793</v>
      </c>
      <c r="C94" s="3" t="s">
        <v>794</v>
      </c>
      <c r="D94" s="5">
        <v>51</v>
      </c>
      <c r="E94" s="6">
        <v>0.67540840947747305</v>
      </c>
      <c r="F94" s="6">
        <v>0.54373153085832704</v>
      </c>
      <c r="G94" s="6">
        <v>0.55762372202031196</v>
      </c>
      <c r="H94" s="6">
        <v>3.3966237559865503E-5</v>
      </c>
      <c r="I94" s="6">
        <v>0.27590774769878701</v>
      </c>
      <c r="J94" s="6">
        <v>2.2315818076831601E-2</v>
      </c>
      <c r="K94" s="6">
        <v>0</v>
      </c>
      <c r="L94" s="6">
        <v>0.141571278149519</v>
      </c>
      <c r="M94" s="6">
        <v>2.5474678169899101E-3</v>
      </c>
      <c r="N94" s="5">
        <v>2</v>
      </c>
      <c r="O94" s="5">
        <v>3</v>
      </c>
      <c r="P94" s="5">
        <v>0</v>
      </c>
      <c r="Q94" s="5">
        <v>0</v>
      </c>
    </row>
    <row r="95" spans="1:17" x14ac:dyDescent="0.3">
      <c r="A95" s="2" t="s">
        <v>381</v>
      </c>
      <c r="B95" s="3" t="s">
        <v>795</v>
      </c>
      <c r="C95" s="3" t="s">
        <v>796</v>
      </c>
      <c r="D95" s="5">
        <v>52</v>
      </c>
      <c r="E95" s="3"/>
      <c r="F95" s="3"/>
      <c r="G95" s="6">
        <v>0</v>
      </c>
      <c r="H95" s="6">
        <v>0</v>
      </c>
      <c r="I95" s="6">
        <v>1.34621209571568E-4</v>
      </c>
      <c r="J95" s="6">
        <v>0</v>
      </c>
      <c r="K95" s="6">
        <v>0</v>
      </c>
      <c r="L95" s="6">
        <v>0.99986537879042803</v>
      </c>
      <c r="M95" s="6">
        <v>0</v>
      </c>
      <c r="N95" s="3" t="s">
        <v>796</v>
      </c>
      <c r="O95" s="3" t="s">
        <v>796</v>
      </c>
      <c r="P95" s="3" t="s">
        <v>796</v>
      </c>
      <c r="Q95" s="3" t="s">
        <v>796</v>
      </c>
    </row>
    <row r="96" spans="1:17" x14ac:dyDescent="0.3">
      <c r="A96" s="2" t="s">
        <v>386</v>
      </c>
      <c r="B96" s="3" t="s">
        <v>797</v>
      </c>
      <c r="C96" s="3" t="s">
        <v>798</v>
      </c>
      <c r="D96" s="5">
        <v>53</v>
      </c>
      <c r="E96" s="6">
        <v>0.87790232185748596</v>
      </c>
      <c r="F96" s="6">
        <v>0.14431174927516199</v>
      </c>
      <c r="G96" s="6">
        <v>0.148936904597542</v>
      </c>
      <c r="H96" s="6">
        <v>0</v>
      </c>
      <c r="I96" s="6">
        <v>1.6360624050807699E-2</v>
      </c>
      <c r="J96" s="6">
        <v>2.45064199917161E-3</v>
      </c>
      <c r="K96" s="6">
        <v>0</v>
      </c>
      <c r="L96" s="6">
        <v>0.82783377053706997</v>
      </c>
      <c r="M96" s="6">
        <v>4.4180588154079797E-3</v>
      </c>
      <c r="N96" s="5">
        <v>1</v>
      </c>
      <c r="O96" s="5">
        <v>0</v>
      </c>
      <c r="P96" s="5">
        <v>0</v>
      </c>
      <c r="Q96" s="5">
        <v>0</v>
      </c>
    </row>
    <row r="97" spans="1:17" x14ac:dyDescent="0.3">
      <c r="A97" s="2" t="s">
        <v>391</v>
      </c>
      <c r="B97" s="3" t="s">
        <v>799</v>
      </c>
      <c r="C97" s="3" t="s">
        <v>800</v>
      </c>
      <c r="D97" s="5">
        <v>54</v>
      </c>
      <c r="E97" s="6">
        <v>0.68049535603715205</v>
      </c>
      <c r="F97" s="6">
        <v>0.55259293866381898</v>
      </c>
      <c r="G97" s="6">
        <v>0.56517386371220701</v>
      </c>
      <c r="H97" s="6">
        <v>5.3393846359207095E-4</v>
      </c>
      <c r="I97" s="6">
        <v>0.26326503370486498</v>
      </c>
      <c r="J97" s="6">
        <v>2.1090569311886801E-2</v>
      </c>
      <c r="K97" s="6">
        <v>0</v>
      </c>
      <c r="L97" s="6">
        <v>0.14770072749115701</v>
      </c>
      <c r="M97" s="6">
        <v>2.2358673162917999E-3</v>
      </c>
      <c r="N97" s="5">
        <v>4</v>
      </c>
      <c r="O97" s="5">
        <v>4</v>
      </c>
      <c r="P97" s="5">
        <v>0</v>
      </c>
      <c r="Q97" s="5">
        <v>0</v>
      </c>
    </row>
    <row r="98" spans="1:17" x14ac:dyDescent="0.3">
      <c r="A98" s="2" t="s">
        <v>396</v>
      </c>
      <c r="B98" s="3" t="s">
        <v>801</v>
      </c>
      <c r="C98" s="3" t="s">
        <v>802</v>
      </c>
      <c r="D98" s="5">
        <v>55</v>
      </c>
      <c r="E98" s="6">
        <v>0.70085054678007297</v>
      </c>
      <c r="F98" s="6">
        <v>0.18938817836156199</v>
      </c>
      <c r="G98" s="6">
        <v>0.19450397511233999</v>
      </c>
      <c r="H98" s="6">
        <v>5.1849291393017596E-4</v>
      </c>
      <c r="I98" s="6">
        <v>8.3961285862426502E-2</v>
      </c>
      <c r="J98" s="6">
        <v>4.35534047701348E-3</v>
      </c>
      <c r="K98" s="6">
        <v>0</v>
      </c>
      <c r="L98" s="6">
        <v>0.71596958174904901</v>
      </c>
      <c r="M98" s="6">
        <v>6.9132388524023505E-4</v>
      </c>
      <c r="N98" s="5">
        <v>0</v>
      </c>
      <c r="O98" s="5">
        <v>0</v>
      </c>
      <c r="P98" s="5">
        <v>0</v>
      </c>
      <c r="Q98" s="5">
        <v>0</v>
      </c>
    </row>
    <row r="99" spans="1:17" x14ac:dyDescent="0.3">
      <c r="A99" s="2" t="s">
        <v>400</v>
      </c>
      <c r="B99" s="3" t="s">
        <v>803</v>
      </c>
      <c r="C99" s="3" t="s">
        <v>804</v>
      </c>
      <c r="D99" s="5">
        <v>56</v>
      </c>
      <c r="E99" s="6">
        <v>0.68072235959025096</v>
      </c>
      <c r="F99" s="6">
        <v>0.47077424938419499</v>
      </c>
      <c r="G99" s="6">
        <v>0.47776446308501402</v>
      </c>
      <c r="H99" s="6">
        <v>2.39664469742361E-3</v>
      </c>
      <c r="I99" s="6">
        <v>0.23280740296917601</v>
      </c>
      <c r="J99" s="6">
        <v>3.3020438053391901E-2</v>
      </c>
      <c r="K99" s="6">
        <v>0</v>
      </c>
      <c r="L99" s="6">
        <v>0.24958391585114201</v>
      </c>
      <c r="M99" s="6">
        <v>4.4271353438519404E-3</v>
      </c>
      <c r="N99" s="5">
        <v>0</v>
      </c>
      <c r="O99" s="5">
        <v>5</v>
      </c>
      <c r="P99" s="5">
        <v>1</v>
      </c>
      <c r="Q99" s="5">
        <v>1</v>
      </c>
    </row>
    <row r="100" spans="1:17" x14ac:dyDescent="0.3">
      <c r="A100" s="2" t="s">
        <v>405</v>
      </c>
      <c r="B100" s="3" t="s">
        <v>720</v>
      </c>
      <c r="C100" s="3" t="s">
        <v>805</v>
      </c>
      <c r="D100" s="5">
        <v>57</v>
      </c>
      <c r="E100" s="6">
        <v>0.69796563462473704</v>
      </c>
      <c r="F100" s="6">
        <v>0.53862155040909698</v>
      </c>
      <c r="G100" s="6">
        <v>0.54503536264040997</v>
      </c>
      <c r="H100" s="6">
        <v>1.9761475523505799E-3</v>
      </c>
      <c r="I100" s="6">
        <v>0.251768132020524</v>
      </c>
      <c r="J100" s="6">
        <v>5.0097073914852297E-2</v>
      </c>
      <c r="K100" s="6">
        <v>0</v>
      </c>
      <c r="L100" s="6">
        <v>0.14817639717098899</v>
      </c>
      <c r="M100" s="6">
        <v>2.94688670087366E-3</v>
      </c>
      <c r="N100" s="5">
        <v>0</v>
      </c>
      <c r="O100" s="5">
        <v>6</v>
      </c>
      <c r="P100" s="5">
        <v>0</v>
      </c>
      <c r="Q100" s="5">
        <v>2</v>
      </c>
    </row>
    <row r="101" spans="1:17" x14ac:dyDescent="0.3">
      <c r="A101" s="2" t="s">
        <v>407</v>
      </c>
      <c r="B101" s="3" t="s">
        <v>806</v>
      </c>
      <c r="C101" s="3" t="s">
        <v>807</v>
      </c>
      <c r="D101" s="5">
        <v>58</v>
      </c>
      <c r="E101" s="6">
        <v>0.67621510242010396</v>
      </c>
      <c r="F101" s="6">
        <v>0.53294365856189296</v>
      </c>
      <c r="G101" s="6">
        <v>0.54141735551481995</v>
      </c>
      <c r="H101" s="6">
        <v>7.2631688167952102E-4</v>
      </c>
      <c r="I101" s="6">
        <v>0.27454778127485902</v>
      </c>
      <c r="J101" s="6">
        <v>3.6730882302078598E-2</v>
      </c>
      <c r="K101" s="6">
        <v>0</v>
      </c>
      <c r="L101" s="6">
        <v>0.14415660775429701</v>
      </c>
      <c r="M101" s="6">
        <v>2.4210562722650699E-3</v>
      </c>
      <c r="N101" s="5">
        <v>3</v>
      </c>
      <c r="O101" s="5">
        <v>8</v>
      </c>
      <c r="P101" s="5">
        <v>0</v>
      </c>
      <c r="Q101" s="5">
        <v>2</v>
      </c>
    </row>
    <row r="102" spans="1:17" x14ac:dyDescent="0.3">
      <c r="A102" s="2" t="s">
        <v>410</v>
      </c>
      <c r="B102" s="3" t="s">
        <v>808</v>
      </c>
      <c r="C102" s="3" t="s">
        <v>809</v>
      </c>
      <c r="D102" s="5">
        <v>59</v>
      </c>
      <c r="E102" s="6">
        <v>0.87051625879986605</v>
      </c>
      <c r="F102" s="6">
        <v>0.41310286360211002</v>
      </c>
      <c r="G102" s="6">
        <v>0.42214581763376002</v>
      </c>
      <c r="H102" s="6">
        <v>1.8745290128108501E-2</v>
      </c>
      <c r="I102" s="6">
        <v>4.95007535795026E-2</v>
      </c>
      <c r="J102" s="6">
        <v>4.8323285606631503E-2</v>
      </c>
      <c r="K102" s="6">
        <v>0</v>
      </c>
      <c r="L102" s="6">
        <v>0.45695177091183098</v>
      </c>
      <c r="M102" s="6">
        <v>4.3330821401657898E-3</v>
      </c>
      <c r="N102" s="5">
        <v>0</v>
      </c>
      <c r="O102" s="5">
        <v>6</v>
      </c>
      <c r="P102" s="5">
        <v>2</v>
      </c>
      <c r="Q102" s="5">
        <v>0</v>
      </c>
    </row>
    <row r="103" spans="1:17" x14ac:dyDescent="0.3">
      <c r="A103" s="2" t="s">
        <v>415</v>
      </c>
      <c r="B103" s="3" t="s">
        <v>810</v>
      </c>
      <c r="C103" s="3" t="s">
        <v>811</v>
      </c>
      <c r="D103" s="5">
        <v>60</v>
      </c>
      <c r="E103" s="6">
        <v>0.68126646797114598</v>
      </c>
      <c r="F103" s="6">
        <v>0.50483838451717</v>
      </c>
      <c r="G103" s="6">
        <v>0.51501915193871395</v>
      </c>
      <c r="H103" s="6">
        <v>1.3439956992137599E-4</v>
      </c>
      <c r="I103" s="6">
        <v>0.24420401854714099</v>
      </c>
      <c r="J103" s="6">
        <v>1.4783952691351399E-2</v>
      </c>
      <c r="K103" s="6">
        <v>0</v>
      </c>
      <c r="L103" s="6">
        <v>0.22300248639204401</v>
      </c>
      <c r="M103" s="6">
        <v>2.85599086082925E-3</v>
      </c>
      <c r="N103" s="5">
        <v>2</v>
      </c>
      <c r="O103" s="5">
        <v>1</v>
      </c>
      <c r="P103" s="5">
        <v>0</v>
      </c>
      <c r="Q103" s="5">
        <v>0</v>
      </c>
    </row>
    <row r="104" spans="1:17" x14ac:dyDescent="0.3">
      <c r="A104" s="2" t="s">
        <v>418</v>
      </c>
      <c r="B104" s="3" t="s">
        <v>812</v>
      </c>
      <c r="C104" s="3" t="s">
        <v>813</v>
      </c>
      <c r="D104" s="5">
        <v>61</v>
      </c>
      <c r="E104" s="6">
        <v>0.66398499374739495</v>
      </c>
      <c r="F104" s="6">
        <v>0.52390558805729304</v>
      </c>
      <c r="G104" s="6">
        <v>0.52800753143702495</v>
      </c>
      <c r="H104" s="6">
        <v>0</v>
      </c>
      <c r="I104" s="6">
        <v>0.26605473740837898</v>
      </c>
      <c r="J104" s="6">
        <v>7.5650595118014899E-3</v>
      </c>
      <c r="K104" s="6">
        <v>0</v>
      </c>
      <c r="L104" s="6">
        <v>0.19558200524510799</v>
      </c>
      <c r="M104" s="6">
        <v>2.79066639768677E-3</v>
      </c>
      <c r="N104" s="5">
        <v>5</v>
      </c>
      <c r="O104" s="5">
        <v>0</v>
      </c>
      <c r="P104" s="5">
        <v>0</v>
      </c>
      <c r="Q104" s="5">
        <v>0</v>
      </c>
    </row>
    <row r="105" spans="1:17" x14ac:dyDescent="0.3">
      <c r="A105" s="2" t="s">
        <v>423</v>
      </c>
      <c r="B105" s="3" t="s">
        <v>814</v>
      </c>
      <c r="C105" s="3" t="s">
        <v>815</v>
      </c>
      <c r="D105" s="5">
        <v>62</v>
      </c>
      <c r="E105" s="6">
        <v>0.79396763981709495</v>
      </c>
      <c r="F105" s="6">
        <v>0.25444780127559602</v>
      </c>
      <c r="G105" s="6">
        <v>0.27710641154749899</v>
      </c>
      <c r="H105" s="6">
        <v>0</v>
      </c>
      <c r="I105" s="6">
        <v>7.51258811681772E-2</v>
      </c>
      <c r="J105" s="6">
        <v>2.5981873111782499E-2</v>
      </c>
      <c r="K105" s="6">
        <v>0</v>
      </c>
      <c r="L105" s="6">
        <v>0.62017455521987197</v>
      </c>
      <c r="M105" s="6">
        <v>1.6112789526686799E-3</v>
      </c>
      <c r="N105" s="5">
        <v>1</v>
      </c>
      <c r="O105" s="5">
        <v>4</v>
      </c>
      <c r="P105" s="5">
        <v>0</v>
      </c>
      <c r="Q105" s="5">
        <v>1</v>
      </c>
    </row>
    <row r="106" spans="1:17" x14ac:dyDescent="0.3">
      <c r="A106" s="2" t="s">
        <v>429</v>
      </c>
      <c r="B106" s="3" t="s">
        <v>816</v>
      </c>
      <c r="C106" s="3" t="s">
        <v>817</v>
      </c>
      <c r="D106" s="5">
        <v>63</v>
      </c>
      <c r="E106" s="6">
        <v>0.71324546416076795</v>
      </c>
      <c r="F106" s="6">
        <v>0.55517503805174995</v>
      </c>
      <c r="G106" s="6">
        <v>0.56316590563165903</v>
      </c>
      <c r="H106" s="6">
        <v>0</v>
      </c>
      <c r="I106" s="6">
        <v>0.239380102393801</v>
      </c>
      <c r="J106" s="6">
        <v>4.3344402933444E-2</v>
      </c>
      <c r="K106" s="6">
        <v>0</v>
      </c>
      <c r="L106" s="6">
        <v>0.15220700152207001</v>
      </c>
      <c r="M106" s="6">
        <v>1.9025875190258801E-3</v>
      </c>
      <c r="N106" s="5">
        <v>3</v>
      </c>
      <c r="O106" s="5">
        <v>5</v>
      </c>
      <c r="P106" s="5">
        <v>0</v>
      </c>
      <c r="Q106" s="5">
        <v>1</v>
      </c>
    </row>
    <row r="107" spans="1:17" x14ac:dyDescent="0.3">
      <c r="A107" s="2" t="s">
        <v>433</v>
      </c>
      <c r="B107" s="3" t="s">
        <v>818</v>
      </c>
      <c r="C107" s="3"/>
      <c r="D107" s="5">
        <v>64</v>
      </c>
      <c r="E107" s="3"/>
      <c r="F107" s="3"/>
      <c r="G107" s="6">
        <v>0</v>
      </c>
      <c r="H107" s="6">
        <v>0</v>
      </c>
      <c r="I107" s="6">
        <v>3.0171980287639502E-4</v>
      </c>
      <c r="J107" s="6">
        <v>0</v>
      </c>
      <c r="K107" s="6">
        <v>0</v>
      </c>
      <c r="L107" s="6">
        <v>0.99969828019712303</v>
      </c>
      <c r="M107" s="6">
        <v>0</v>
      </c>
      <c r="N107" s="3" t="s">
        <v>796</v>
      </c>
      <c r="O107" s="3" t="s">
        <v>796</v>
      </c>
      <c r="P107" s="3" t="s">
        <v>796</v>
      </c>
      <c r="Q107" s="3" t="s">
        <v>796</v>
      </c>
    </row>
    <row r="108" spans="1:17" x14ac:dyDescent="0.3">
      <c r="A108" s="2" t="s">
        <v>437</v>
      </c>
      <c r="B108" s="3" t="s">
        <v>612</v>
      </c>
      <c r="C108" s="3" t="s">
        <v>819</v>
      </c>
      <c r="D108" s="5">
        <v>65</v>
      </c>
      <c r="E108" s="6">
        <v>0.67973558240255305</v>
      </c>
      <c r="F108" s="6">
        <v>0.477120667047709</v>
      </c>
      <c r="G108" s="6">
        <v>0.47967589012540801</v>
      </c>
      <c r="H108" s="6">
        <v>1.0758834011364001E-3</v>
      </c>
      <c r="I108" s="6">
        <v>0.23333221262145701</v>
      </c>
      <c r="J108" s="6">
        <v>2.0542648690448199E-2</v>
      </c>
      <c r="K108" s="6">
        <v>0</v>
      </c>
      <c r="L108" s="6">
        <v>0.26278452072756597</v>
      </c>
      <c r="M108" s="6">
        <v>2.5888444339844702E-3</v>
      </c>
      <c r="N108" s="5">
        <v>3</v>
      </c>
      <c r="O108" s="5">
        <v>3</v>
      </c>
      <c r="P108" s="5">
        <v>1</v>
      </c>
      <c r="Q108" s="5">
        <v>0</v>
      </c>
    </row>
    <row r="109" spans="1:17" x14ac:dyDescent="0.3">
      <c r="A109" s="2" t="s">
        <v>440</v>
      </c>
      <c r="B109" s="3" t="s">
        <v>820</v>
      </c>
      <c r="C109" s="3" t="s">
        <v>821</v>
      </c>
      <c r="D109" s="5">
        <v>66</v>
      </c>
      <c r="E109" s="6">
        <v>0.73349116736477904</v>
      </c>
      <c r="F109" s="6">
        <v>0.61917030852521004</v>
      </c>
      <c r="G109" s="6">
        <v>0.62725849585806503</v>
      </c>
      <c r="H109" s="6">
        <v>8.80568782205988E-4</v>
      </c>
      <c r="I109" s="6">
        <v>0.23256799947818099</v>
      </c>
      <c r="J109" s="6">
        <v>2.86347922509947E-2</v>
      </c>
      <c r="K109" s="6">
        <v>0</v>
      </c>
      <c r="L109" s="6">
        <v>0.105244276302916</v>
      </c>
      <c r="M109" s="6">
        <v>5.4138673276368102E-3</v>
      </c>
      <c r="N109" s="5">
        <v>4</v>
      </c>
      <c r="O109" s="5">
        <v>4</v>
      </c>
      <c r="P109" s="5">
        <v>0</v>
      </c>
      <c r="Q109" s="5">
        <v>1</v>
      </c>
    </row>
    <row r="110" spans="1:17" x14ac:dyDescent="0.3">
      <c r="A110" s="2" t="s">
        <v>444</v>
      </c>
      <c r="B110" s="3" t="s">
        <v>822</v>
      </c>
      <c r="C110" s="3" t="s">
        <v>823</v>
      </c>
      <c r="D110" s="5">
        <v>67</v>
      </c>
      <c r="E110" s="6">
        <v>0.71079305870904996</v>
      </c>
      <c r="F110" s="6">
        <v>0.55305265350039901</v>
      </c>
      <c r="G110" s="6">
        <v>0.56457602998854595</v>
      </c>
      <c r="H110" s="6">
        <v>3.4708965325743603E-5</v>
      </c>
      <c r="I110" s="6">
        <v>0.24383048141334901</v>
      </c>
      <c r="J110" s="6">
        <v>4.3872132171739998E-2</v>
      </c>
      <c r="K110" s="6">
        <v>0</v>
      </c>
      <c r="L110" s="6">
        <v>0.14452813161639599</v>
      </c>
      <c r="M110" s="6">
        <v>3.1585158446426698E-3</v>
      </c>
      <c r="N110" s="5">
        <v>1</v>
      </c>
      <c r="O110" s="5">
        <v>7</v>
      </c>
      <c r="P110" s="5">
        <v>0</v>
      </c>
      <c r="Q110" s="5">
        <v>0</v>
      </c>
    </row>
    <row r="111" spans="1:17" x14ac:dyDescent="0.3">
      <c r="A111" s="2" t="s">
        <v>446</v>
      </c>
      <c r="B111" s="3" t="s">
        <v>824</v>
      </c>
      <c r="C111" s="3" t="s">
        <v>825</v>
      </c>
      <c r="D111" s="5">
        <v>68</v>
      </c>
      <c r="E111" s="6">
        <v>0.70349857638753499</v>
      </c>
      <c r="F111" s="6">
        <v>0.56195374478956595</v>
      </c>
      <c r="G111" s="6">
        <v>0.56595401371520804</v>
      </c>
      <c r="H111" s="6">
        <v>1.3446282102998501E-4</v>
      </c>
      <c r="I111" s="6">
        <v>0.25248756218905499</v>
      </c>
      <c r="J111" s="6">
        <v>4.0237999193223101E-2</v>
      </c>
      <c r="K111" s="6">
        <v>0</v>
      </c>
      <c r="L111" s="6">
        <v>0.13849670566088501</v>
      </c>
      <c r="M111" s="6">
        <v>2.6892564205997001E-3</v>
      </c>
      <c r="N111" s="5">
        <v>3</v>
      </c>
      <c r="O111" s="5">
        <v>6</v>
      </c>
      <c r="P111" s="5">
        <v>0</v>
      </c>
      <c r="Q111" s="5">
        <v>0</v>
      </c>
    </row>
    <row r="112" spans="1:17" x14ac:dyDescent="0.3">
      <c r="A112" s="2" t="s">
        <v>450</v>
      </c>
      <c r="B112" s="3" t="s">
        <v>826</v>
      </c>
      <c r="C112" s="3" t="s">
        <v>827</v>
      </c>
      <c r="D112" s="5">
        <v>69</v>
      </c>
      <c r="E112" s="6">
        <v>0.73491531404375399</v>
      </c>
      <c r="F112" s="6">
        <v>0.48780077967468699</v>
      </c>
      <c r="G112" s="6">
        <v>0.50467132679123505</v>
      </c>
      <c r="H112" s="6">
        <v>7.79674687457992E-3</v>
      </c>
      <c r="I112" s="6">
        <v>0.19612851189676</v>
      </c>
      <c r="J112" s="6">
        <v>4.74862212662992E-2</v>
      </c>
      <c r="K112" s="6">
        <v>0</v>
      </c>
      <c r="L112" s="6">
        <v>0.24092619975803201</v>
      </c>
      <c r="M112" s="6">
        <v>2.9909934130931599E-3</v>
      </c>
      <c r="N112" s="5">
        <v>2</v>
      </c>
      <c r="O112" s="5">
        <v>6</v>
      </c>
      <c r="P112" s="5">
        <v>1</v>
      </c>
      <c r="Q112" s="5">
        <v>2</v>
      </c>
    </row>
    <row r="113" spans="1:17" x14ac:dyDescent="0.3">
      <c r="A113" s="2" t="s">
        <v>454</v>
      </c>
      <c r="B113" s="3" t="s">
        <v>828</v>
      </c>
      <c r="C113" s="3" t="s">
        <v>829</v>
      </c>
      <c r="D113" s="5">
        <v>70</v>
      </c>
      <c r="E113" s="6">
        <v>0.70334218335155396</v>
      </c>
      <c r="F113" s="6">
        <v>0.55414762032804499</v>
      </c>
      <c r="G113" s="6">
        <v>0.56332347405216399</v>
      </c>
      <c r="H113" s="6">
        <v>1.1091691314869599E-3</v>
      </c>
      <c r="I113" s="6">
        <v>0.245899435332078</v>
      </c>
      <c r="J113" s="6">
        <v>4.1039257865017498E-2</v>
      </c>
      <c r="K113" s="6">
        <v>0</v>
      </c>
      <c r="L113" s="6">
        <v>0.14059559021242299</v>
      </c>
      <c r="M113" s="6">
        <v>8.0330734068297903E-3</v>
      </c>
      <c r="N113" s="5">
        <v>3</v>
      </c>
      <c r="O113" s="5">
        <v>7</v>
      </c>
      <c r="P113" s="5">
        <v>1</v>
      </c>
      <c r="Q113" s="5">
        <v>0</v>
      </c>
    </row>
    <row r="114" spans="1:17" x14ac:dyDescent="0.3">
      <c r="A114" s="2" t="s">
        <v>457</v>
      </c>
      <c r="B114" s="3" t="s">
        <v>830</v>
      </c>
      <c r="C114" s="3" t="s">
        <v>831</v>
      </c>
      <c r="D114" s="5">
        <v>71</v>
      </c>
      <c r="E114" s="6">
        <v>0.74219097264314904</v>
      </c>
      <c r="F114" s="6">
        <v>0.58651553374572396</v>
      </c>
      <c r="G114" s="6">
        <v>0.59615716902235905</v>
      </c>
      <c r="H114" s="6">
        <v>6.9115665065487103E-5</v>
      </c>
      <c r="I114" s="6">
        <v>0.21750699796108799</v>
      </c>
      <c r="J114" s="6">
        <v>3.8497425441476302E-2</v>
      </c>
      <c r="K114" s="6">
        <v>0</v>
      </c>
      <c r="L114" s="6">
        <v>0.145661264125514</v>
      </c>
      <c r="M114" s="6">
        <v>2.10802778449736E-3</v>
      </c>
      <c r="N114" s="5">
        <v>2</v>
      </c>
      <c r="O114" s="5">
        <v>6</v>
      </c>
      <c r="P114" s="5">
        <v>0</v>
      </c>
      <c r="Q114" s="5">
        <v>0</v>
      </c>
    </row>
    <row r="115" spans="1:17" x14ac:dyDescent="0.3">
      <c r="A115" s="2" t="s">
        <v>461</v>
      </c>
      <c r="B115" s="3" t="s">
        <v>832</v>
      </c>
      <c r="C115" s="3" t="s">
        <v>833</v>
      </c>
      <c r="D115" s="5">
        <v>72</v>
      </c>
      <c r="E115" s="6">
        <v>0.75727312201476304</v>
      </c>
      <c r="F115" s="6">
        <v>0.58165871362322696</v>
      </c>
      <c r="G115" s="6">
        <v>0.591572014248269</v>
      </c>
      <c r="H115" s="6">
        <v>3.0243968008602699E-4</v>
      </c>
      <c r="I115" s="6">
        <v>0.203609113515693</v>
      </c>
      <c r="J115" s="6">
        <v>5.2792526379460997E-2</v>
      </c>
      <c r="K115" s="6">
        <v>0</v>
      </c>
      <c r="L115" s="6">
        <v>0.14906915787351299</v>
      </c>
      <c r="M115" s="6">
        <v>2.65474830297735E-3</v>
      </c>
      <c r="N115" s="5">
        <v>3</v>
      </c>
      <c r="O115" s="5">
        <v>9</v>
      </c>
      <c r="P115" s="5">
        <v>0</v>
      </c>
      <c r="Q115" s="5">
        <v>4</v>
      </c>
    </row>
    <row r="116" spans="1:17" x14ac:dyDescent="0.3">
      <c r="A116" s="2" t="s">
        <v>464</v>
      </c>
      <c r="B116" s="3" t="s">
        <v>733</v>
      </c>
      <c r="C116" s="3" t="s">
        <v>834</v>
      </c>
      <c r="D116" s="5">
        <v>73</v>
      </c>
      <c r="E116" s="6">
        <v>0.73745236357739397</v>
      </c>
      <c r="F116" s="6">
        <v>0.59073251942286398</v>
      </c>
      <c r="G116" s="6">
        <v>0.60477941176470595</v>
      </c>
      <c r="H116" s="6">
        <v>1.3873473917868999E-4</v>
      </c>
      <c r="I116" s="6">
        <v>0.21885405105438399</v>
      </c>
      <c r="J116" s="6">
        <v>2.59780799112098E-2</v>
      </c>
      <c r="K116" s="6">
        <v>0</v>
      </c>
      <c r="L116" s="6">
        <v>0.145255271920089</v>
      </c>
      <c r="M116" s="6">
        <v>4.9944506104328502E-3</v>
      </c>
      <c r="N116" s="5">
        <v>2</v>
      </c>
      <c r="O116" s="5">
        <v>4</v>
      </c>
      <c r="P116" s="5">
        <v>0</v>
      </c>
      <c r="Q116" s="5">
        <v>0</v>
      </c>
    </row>
    <row r="117" spans="1:17" x14ac:dyDescent="0.3">
      <c r="A117" s="2" t="s">
        <v>466</v>
      </c>
      <c r="B117" s="3" t="s">
        <v>835</v>
      </c>
      <c r="C117" s="3" t="s">
        <v>836</v>
      </c>
      <c r="D117" s="5">
        <v>74</v>
      </c>
      <c r="E117" s="6">
        <v>0.72636019216498104</v>
      </c>
      <c r="F117" s="6">
        <v>0.58640692060085797</v>
      </c>
      <c r="G117" s="6">
        <v>0.58717811158798305</v>
      </c>
      <c r="H117" s="6">
        <v>1.5088519313304701E-3</v>
      </c>
      <c r="I117" s="6">
        <v>0.23226260729613701</v>
      </c>
      <c r="J117" s="6">
        <v>3.4871244635193102E-2</v>
      </c>
      <c r="K117" s="6">
        <v>0</v>
      </c>
      <c r="L117" s="6">
        <v>0.14277092274678099</v>
      </c>
      <c r="M117" s="6">
        <v>1.4082618025751099E-3</v>
      </c>
      <c r="N117" s="5">
        <v>4</v>
      </c>
      <c r="O117" s="5">
        <v>4</v>
      </c>
      <c r="P117" s="5">
        <v>1</v>
      </c>
      <c r="Q117" s="5">
        <v>0</v>
      </c>
    </row>
    <row r="118" spans="1:17" x14ac:dyDescent="0.3">
      <c r="A118" s="2" t="s">
        <v>468</v>
      </c>
      <c r="B118" s="3" t="s">
        <v>837</v>
      </c>
      <c r="C118" s="3" t="s">
        <v>838</v>
      </c>
      <c r="D118" s="5">
        <v>75</v>
      </c>
      <c r="E118" s="6">
        <v>0.68830697224015502</v>
      </c>
      <c r="F118" s="6">
        <v>0.54653369681493502</v>
      </c>
      <c r="G118" s="6">
        <v>0.54957037854998403</v>
      </c>
      <c r="H118" s="6">
        <v>4.8310845784878698E-4</v>
      </c>
      <c r="I118" s="6">
        <v>0.26067152075640998</v>
      </c>
      <c r="J118" s="6">
        <v>3.8614168880913798E-2</v>
      </c>
      <c r="K118" s="6">
        <v>0</v>
      </c>
      <c r="L118" s="6">
        <v>0.149107974740329</v>
      </c>
      <c r="M118" s="6">
        <v>1.55284861451396E-3</v>
      </c>
      <c r="N118" s="5">
        <v>2</v>
      </c>
      <c r="O118" s="5">
        <v>6</v>
      </c>
      <c r="P118" s="5">
        <v>0</v>
      </c>
      <c r="Q118" s="5">
        <v>2</v>
      </c>
    </row>
    <row r="119" spans="1:17" x14ac:dyDescent="0.3">
      <c r="A119" s="2" t="s">
        <v>472</v>
      </c>
      <c r="B119" s="3" t="s">
        <v>839</v>
      </c>
      <c r="C119" s="3" t="s">
        <v>840</v>
      </c>
      <c r="D119" s="5">
        <v>76</v>
      </c>
      <c r="E119" s="6">
        <v>0.69671365489130399</v>
      </c>
      <c r="F119" s="6">
        <v>0.53238796723342696</v>
      </c>
      <c r="G119" s="6">
        <v>0.55586149927720796</v>
      </c>
      <c r="H119" s="6">
        <v>6.8837337371790503E-5</v>
      </c>
      <c r="I119" s="6">
        <v>0.24199765953052901</v>
      </c>
      <c r="J119" s="6">
        <v>8.8455978522750701E-3</v>
      </c>
      <c r="K119" s="6">
        <v>0</v>
      </c>
      <c r="L119" s="6">
        <v>0.19126454188752001</v>
      </c>
      <c r="M119" s="6">
        <v>1.9618641150960302E-3</v>
      </c>
      <c r="N119" s="5">
        <v>1</v>
      </c>
      <c r="O119" s="5">
        <v>0</v>
      </c>
      <c r="P119" s="5">
        <v>0</v>
      </c>
      <c r="Q119" s="5">
        <v>0</v>
      </c>
    </row>
    <row r="120" spans="1:17" x14ac:dyDescent="0.3">
      <c r="A120" s="2" t="s">
        <v>476</v>
      </c>
      <c r="B120" s="3" t="s">
        <v>841</v>
      </c>
      <c r="C120" s="3" t="s">
        <v>842</v>
      </c>
      <c r="D120" s="5">
        <v>77</v>
      </c>
      <c r="E120" s="6">
        <v>0.71026490066225201</v>
      </c>
      <c r="F120" s="6">
        <v>0.47020989660776702</v>
      </c>
      <c r="G120" s="6">
        <v>0.48556312458937001</v>
      </c>
      <c r="H120" s="6">
        <v>1.95027490577129E-2</v>
      </c>
      <c r="I120" s="6">
        <v>0.209827449081918</v>
      </c>
      <c r="J120" s="6">
        <v>5.81970330924306E-2</v>
      </c>
      <c r="K120" s="6">
        <v>0</v>
      </c>
      <c r="L120" s="6">
        <v>0.21912929216086299</v>
      </c>
      <c r="M120" s="6">
        <v>7.7803520177046198E-3</v>
      </c>
      <c r="N120" s="5">
        <v>1</v>
      </c>
      <c r="O120" s="5">
        <v>7</v>
      </c>
      <c r="P120" s="5">
        <v>3</v>
      </c>
      <c r="Q120" s="5">
        <v>2</v>
      </c>
    </row>
    <row r="121" spans="1:17" x14ac:dyDescent="0.3">
      <c r="A121" s="2" t="s">
        <v>481</v>
      </c>
      <c r="B121" s="3" t="s">
        <v>843</v>
      </c>
      <c r="C121" s="3" t="s">
        <v>844</v>
      </c>
      <c r="D121" s="5">
        <v>78</v>
      </c>
      <c r="E121" s="6">
        <v>0.69223773182015902</v>
      </c>
      <c r="F121" s="6">
        <v>0.54633099407235797</v>
      </c>
      <c r="G121" s="6">
        <v>0.56847448388635302</v>
      </c>
      <c r="H121" s="6">
        <v>0</v>
      </c>
      <c r="I121" s="6">
        <v>0.25962390134223601</v>
      </c>
      <c r="J121" s="6">
        <v>2.79007971656333E-2</v>
      </c>
      <c r="K121" s="6">
        <v>0</v>
      </c>
      <c r="L121" s="6">
        <v>0.140560059957757</v>
      </c>
      <c r="M121" s="6">
        <v>3.44075764802071E-3</v>
      </c>
      <c r="N121" s="5">
        <v>0</v>
      </c>
      <c r="O121" s="5">
        <v>2</v>
      </c>
      <c r="P121" s="5">
        <v>0</v>
      </c>
      <c r="Q121" s="5">
        <v>0</v>
      </c>
    </row>
    <row r="122" spans="1:17" x14ac:dyDescent="0.3">
      <c r="A122" s="2" t="s">
        <v>484</v>
      </c>
      <c r="B122" s="3" t="s">
        <v>845</v>
      </c>
      <c r="C122" s="3" t="s">
        <v>846</v>
      </c>
      <c r="D122" s="5">
        <v>79</v>
      </c>
      <c r="E122" s="6">
        <v>0.74489611562782299</v>
      </c>
      <c r="F122" s="6">
        <v>0.38820416638756799</v>
      </c>
      <c r="G122" s="6">
        <v>0.38914193850894202</v>
      </c>
      <c r="H122" s="6">
        <v>0</v>
      </c>
      <c r="I122" s="6">
        <v>0.13614441690669199</v>
      </c>
      <c r="J122" s="6">
        <v>2.5118896108245699E-2</v>
      </c>
      <c r="K122" s="6">
        <v>0</v>
      </c>
      <c r="L122" s="6">
        <v>0.44832205773996903</v>
      </c>
      <c r="M122" s="6">
        <v>1.27269073615112E-3</v>
      </c>
      <c r="N122" s="5">
        <v>2</v>
      </c>
      <c r="O122" s="5">
        <v>3</v>
      </c>
      <c r="P122" s="5">
        <v>0</v>
      </c>
      <c r="Q122" s="5">
        <v>0</v>
      </c>
    </row>
    <row r="123" spans="1:17" x14ac:dyDescent="0.3">
      <c r="A123" s="2" t="s">
        <v>488</v>
      </c>
      <c r="B123" s="3" t="s">
        <v>847</v>
      </c>
      <c r="C123" s="3" t="s">
        <v>848</v>
      </c>
      <c r="D123" s="5">
        <v>80</v>
      </c>
      <c r="E123" s="6">
        <v>0.73147058823529398</v>
      </c>
      <c r="F123" s="6">
        <v>0.40277584042404802</v>
      </c>
      <c r="G123" s="6">
        <v>0.41396987027479398</v>
      </c>
      <c r="H123" s="6">
        <v>2.4410656995396801E-4</v>
      </c>
      <c r="I123" s="6">
        <v>0.15385688380527299</v>
      </c>
      <c r="J123" s="6">
        <v>1.94239084949086E-2</v>
      </c>
      <c r="K123" s="6">
        <v>0</v>
      </c>
      <c r="L123" s="6">
        <v>0.40818105733017102</v>
      </c>
      <c r="M123" s="6">
        <v>4.3241735248988698E-3</v>
      </c>
      <c r="N123" s="5">
        <v>1</v>
      </c>
      <c r="O123" s="5">
        <v>1</v>
      </c>
      <c r="P123" s="5">
        <v>0</v>
      </c>
      <c r="Q123" s="5">
        <v>0</v>
      </c>
    </row>
    <row r="124" spans="1:17" x14ac:dyDescent="0.3">
      <c r="A124" s="2" t="s">
        <v>494</v>
      </c>
      <c r="B124" s="3" t="s">
        <v>849</v>
      </c>
      <c r="C124" s="3" t="s">
        <v>850</v>
      </c>
      <c r="D124" s="5">
        <v>81</v>
      </c>
      <c r="E124" s="6">
        <v>0.74915890775369698</v>
      </c>
      <c r="F124" s="6">
        <v>0.54352584610203702</v>
      </c>
      <c r="G124" s="6">
        <v>0.57595554807206595</v>
      </c>
      <c r="H124" s="6">
        <v>6.7351405960599405E-5</v>
      </c>
      <c r="I124" s="6">
        <v>0.208823034180839</v>
      </c>
      <c r="J124" s="6">
        <v>6.8866812594712903E-2</v>
      </c>
      <c r="K124" s="6">
        <v>0</v>
      </c>
      <c r="L124" s="6">
        <v>0.141404276814278</v>
      </c>
      <c r="M124" s="6">
        <v>4.8829769321434603E-3</v>
      </c>
      <c r="N124" s="5">
        <v>1</v>
      </c>
      <c r="O124" s="5">
        <v>10</v>
      </c>
      <c r="P124" s="5">
        <v>0</v>
      </c>
      <c r="Q124" s="5">
        <v>0</v>
      </c>
    </row>
    <row r="125" spans="1:17" x14ac:dyDescent="0.3">
      <c r="A125" s="2" t="s">
        <v>495</v>
      </c>
      <c r="B125" s="3" t="s">
        <v>851</v>
      </c>
      <c r="C125" s="3" t="s">
        <v>852</v>
      </c>
      <c r="D125" s="5">
        <v>82</v>
      </c>
      <c r="E125" s="6">
        <v>0.481106759501015</v>
      </c>
      <c r="F125" s="6">
        <v>0.28371986821932998</v>
      </c>
      <c r="G125" s="6">
        <v>0.310467429950745</v>
      </c>
      <c r="H125" s="6">
        <v>1.9571386632742899E-3</v>
      </c>
      <c r="I125" s="6">
        <v>0.44612975829337498</v>
      </c>
      <c r="J125" s="6">
        <v>0.120331408813648</v>
      </c>
      <c r="K125" s="6">
        <v>0</v>
      </c>
      <c r="L125" s="6">
        <v>0.10891476661121401</v>
      </c>
      <c r="M125" s="6">
        <v>1.2199497667743101E-2</v>
      </c>
      <c r="N125" s="5">
        <v>0</v>
      </c>
      <c r="O125" s="5">
        <v>13</v>
      </c>
      <c r="P125" s="5">
        <v>0</v>
      </c>
      <c r="Q125" s="5">
        <v>2</v>
      </c>
    </row>
    <row r="126" spans="1:17" x14ac:dyDescent="0.3">
      <c r="A126" s="2" t="s">
        <v>498</v>
      </c>
      <c r="B126" s="3" t="s">
        <v>853</v>
      </c>
      <c r="C126" s="3" t="s">
        <v>854</v>
      </c>
      <c r="D126" s="5">
        <v>83</v>
      </c>
      <c r="E126" s="6">
        <v>0.72348028743445303</v>
      </c>
      <c r="F126" s="6">
        <v>0.56196890539434796</v>
      </c>
      <c r="G126" s="6">
        <v>0.56445521495562401</v>
      </c>
      <c r="H126" s="6">
        <v>2.92692138226223E-3</v>
      </c>
      <c r="I126" s="6">
        <v>0.217378989110593</v>
      </c>
      <c r="J126" s="6">
        <v>1.8820419210675399E-2</v>
      </c>
      <c r="K126" s="6">
        <v>0</v>
      </c>
      <c r="L126" s="6">
        <v>0.191666142128784</v>
      </c>
      <c r="M126" s="6">
        <v>4.75231321206017E-3</v>
      </c>
      <c r="N126" s="5">
        <v>1</v>
      </c>
      <c r="O126" s="5">
        <v>2</v>
      </c>
      <c r="P126" s="5">
        <v>1</v>
      </c>
      <c r="Q126" s="5">
        <v>0</v>
      </c>
    </row>
    <row r="127" spans="1:17" x14ac:dyDescent="0.3">
      <c r="A127" s="2" t="s">
        <v>502</v>
      </c>
      <c r="B127" s="3" t="s">
        <v>855</v>
      </c>
      <c r="C127" s="3" t="s">
        <v>856</v>
      </c>
      <c r="D127" s="5">
        <v>84</v>
      </c>
      <c r="E127" s="6">
        <v>0.73116918844566703</v>
      </c>
      <c r="F127" s="6">
        <v>0.40332201825791802</v>
      </c>
      <c r="G127" s="6">
        <v>0.406321062518538</v>
      </c>
      <c r="H127" s="6">
        <v>3.2956530336486201E-5</v>
      </c>
      <c r="I127" s="6">
        <v>0.15772995419042299</v>
      </c>
      <c r="J127" s="6">
        <v>3.1605312592690199E-2</v>
      </c>
      <c r="K127" s="6">
        <v>0</v>
      </c>
      <c r="L127" s="6">
        <v>0.40302540948488902</v>
      </c>
      <c r="M127" s="6">
        <v>1.28530468312296E-3</v>
      </c>
      <c r="N127" s="5">
        <v>0</v>
      </c>
      <c r="O127" s="5">
        <v>5</v>
      </c>
      <c r="P127" s="5">
        <v>0</v>
      </c>
      <c r="Q127" s="5">
        <v>0</v>
      </c>
    </row>
    <row r="128" spans="1:17" x14ac:dyDescent="0.3">
      <c r="A128" s="2" t="s">
        <v>507</v>
      </c>
      <c r="B128" s="3" t="s">
        <v>857</v>
      </c>
      <c r="C128" s="3" t="s">
        <v>858</v>
      </c>
      <c r="D128" s="5">
        <v>85</v>
      </c>
      <c r="E128" s="6">
        <v>0.71045601537235803</v>
      </c>
      <c r="F128" s="6">
        <v>0.43796610169491501</v>
      </c>
      <c r="G128" s="6">
        <v>0.466440677966102</v>
      </c>
      <c r="H128" s="6">
        <v>6.5084745762711898E-3</v>
      </c>
      <c r="I128" s="6">
        <v>0.20183050847457601</v>
      </c>
      <c r="J128" s="6">
        <v>4.0915254237288097E-2</v>
      </c>
      <c r="K128" s="6">
        <v>0</v>
      </c>
      <c r="L128" s="6">
        <v>0.280271186440678</v>
      </c>
      <c r="M128" s="6">
        <v>4.0338983050847398E-3</v>
      </c>
      <c r="N128" s="5">
        <v>0</v>
      </c>
      <c r="O128" s="5">
        <v>6</v>
      </c>
      <c r="P128" s="5">
        <v>1</v>
      </c>
      <c r="Q128" s="5">
        <v>1</v>
      </c>
    </row>
    <row r="129" spans="1:17" x14ac:dyDescent="0.3">
      <c r="A129" s="2" t="s">
        <v>511</v>
      </c>
      <c r="B129" s="3" t="s">
        <v>859</v>
      </c>
      <c r="C129" s="3" t="s">
        <v>860</v>
      </c>
      <c r="D129" s="5">
        <v>86</v>
      </c>
      <c r="E129" s="6">
        <v>0.688887158321003</v>
      </c>
      <c r="F129" s="6">
        <v>0.55581995508931903</v>
      </c>
      <c r="G129" s="6">
        <v>0.55970774541676405</v>
      </c>
      <c r="H129" s="6">
        <v>6.03277809431243E-4</v>
      </c>
      <c r="I129" s="6">
        <v>0.24472969802594099</v>
      </c>
      <c r="J129" s="6">
        <v>3.26440325770017E-2</v>
      </c>
      <c r="K129" s="6">
        <v>0</v>
      </c>
      <c r="L129" s="6">
        <v>0.159935650366994</v>
      </c>
      <c r="M129" s="6">
        <v>2.3795958038676799E-3</v>
      </c>
      <c r="N129" s="5">
        <v>4</v>
      </c>
      <c r="O129" s="5">
        <v>4</v>
      </c>
      <c r="P129" s="5">
        <v>0</v>
      </c>
      <c r="Q129" s="5">
        <v>0</v>
      </c>
    </row>
    <row r="130" spans="1:17" x14ac:dyDescent="0.3">
      <c r="A130" s="2" t="s">
        <v>515</v>
      </c>
      <c r="B130" s="3" t="s">
        <v>614</v>
      </c>
      <c r="C130" s="3" t="s">
        <v>861</v>
      </c>
      <c r="D130" s="5">
        <v>87</v>
      </c>
      <c r="E130" s="6">
        <v>0.78143757503001199</v>
      </c>
      <c r="F130" s="6">
        <v>0.326035781544256</v>
      </c>
      <c r="G130" s="6">
        <v>0.34315308044121601</v>
      </c>
      <c r="H130" s="6">
        <v>1.0088781275222E-3</v>
      </c>
      <c r="I130" s="6">
        <v>8.7772397094431007E-2</v>
      </c>
      <c r="J130" s="6">
        <v>6.0868980360505804E-3</v>
      </c>
      <c r="K130" s="6">
        <v>0</v>
      </c>
      <c r="L130" s="6">
        <v>0.55612725316115097</v>
      </c>
      <c r="M130" s="6">
        <v>5.8514931396287297E-3</v>
      </c>
      <c r="N130" s="5">
        <v>0</v>
      </c>
      <c r="O130" s="5">
        <v>0</v>
      </c>
      <c r="P130" s="5">
        <v>0</v>
      </c>
      <c r="Q130" s="5">
        <v>0</v>
      </c>
    </row>
    <row r="131" spans="1:17" x14ac:dyDescent="0.3">
      <c r="A131" s="2" t="s">
        <v>520</v>
      </c>
      <c r="B131" s="3" t="s">
        <v>862</v>
      </c>
      <c r="C131" s="3" t="s">
        <v>863</v>
      </c>
      <c r="D131" s="5">
        <v>88</v>
      </c>
      <c r="E131" s="6">
        <v>0.73028798411122098</v>
      </c>
      <c r="F131" s="6">
        <v>0.57404190086867701</v>
      </c>
      <c r="G131" s="6">
        <v>0.58286492931357503</v>
      </c>
      <c r="H131" s="6">
        <v>3.4065746891500599E-5</v>
      </c>
      <c r="I131" s="6">
        <v>0.229024016351558</v>
      </c>
      <c r="J131" s="6">
        <v>4.3399761539771799E-2</v>
      </c>
      <c r="K131" s="6">
        <v>0</v>
      </c>
      <c r="L131" s="6">
        <v>0.142769545222279</v>
      </c>
      <c r="M131" s="6">
        <v>1.90768182592403E-3</v>
      </c>
      <c r="N131" s="5">
        <v>4</v>
      </c>
      <c r="O131" s="5">
        <v>4</v>
      </c>
      <c r="P131" s="5">
        <v>0</v>
      </c>
      <c r="Q131" s="5">
        <v>2</v>
      </c>
    </row>
    <row r="132" spans="1:17" x14ac:dyDescent="0.3">
      <c r="A132" s="2" t="s">
        <v>523</v>
      </c>
      <c r="B132" s="3" t="s">
        <v>864</v>
      </c>
      <c r="C132" s="3" t="s">
        <v>865</v>
      </c>
      <c r="D132" s="5">
        <v>89</v>
      </c>
      <c r="E132" s="6">
        <v>0.69058748052424201</v>
      </c>
      <c r="F132" s="6">
        <v>0.45359037481363301</v>
      </c>
      <c r="G132" s="6">
        <v>0.48354772719392503</v>
      </c>
      <c r="H132" s="6">
        <v>8.2521410492007903E-3</v>
      </c>
      <c r="I132" s="6">
        <v>0.230227800700392</v>
      </c>
      <c r="J132" s="6">
        <v>3.0720155334419699E-2</v>
      </c>
      <c r="K132" s="6">
        <v>0</v>
      </c>
      <c r="L132" s="6">
        <v>0.24392358101314099</v>
      </c>
      <c r="M132" s="6">
        <v>3.3285947089213299E-3</v>
      </c>
      <c r="N132" s="5">
        <v>1</v>
      </c>
      <c r="O132" s="5">
        <v>6</v>
      </c>
      <c r="P132" s="5">
        <v>1</v>
      </c>
      <c r="Q132" s="5">
        <v>0</v>
      </c>
    </row>
    <row r="133" spans="1:17" x14ac:dyDescent="0.3">
      <c r="A133" s="2" t="s">
        <v>526</v>
      </c>
      <c r="B133" s="3" t="s">
        <v>682</v>
      </c>
      <c r="C133" s="3" t="s">
        <v>866</v>
      </c>
      <c r="D133" s="5">
        <v>90</v>
      </c>
      <c r="E133" s="6">
        <v>0.73925523661753301</v>
      </c>
      <c r="F133" s="6">
        <v>0.29689998979140397</v>
      </c>
      <c r="G133" s="6">
        <v>0.30159594378466698</v>
      </c>
      <c r="H133" s="6">
        <v>0</v>
      </c>
      <c r="I133" s="6">
        <v>9.0992615782488906E-2</v>
      </c>
      <c r="J133" s="6">
        <v>2.2663082315309498E-2</v>
      </c>
      <c r="K133" s="6">
        <v>0</v>
      </c>
      <c r="L133" s="6">
        <v>0.56419505223398103</v>
      </c>
      <c r="M133" s="6">
        <v>2.0553305883554002E-2</v>
      </c>
      <c r="N133" s="5">
        <v>1</v>
      </c>
      <c r="O133" s="5">
        <v>4</v>
      </c>
      <c r="P133" s="5">
        <v>0</v>
      </c>
      <c r="Q133" s="5">
        <v>1</v>
      </c>
    </row>
    <row r="134" spans="1:17" x14ac:dyDescent="0.3">
      <c r="A134" s="2" t="s">
        <v>530</v>
      </c>
      <c r="B134" s="3" t="s">
        <v>867</v>
      </c>
      <c r="C134" s="3" t="s">
        <v>868</v>
      </c>
      <c r="D134" s="5">
        <v>91</v>
      </c>
      <c r="E134" s="6">
        <v>0.67504898758981102</v>
      </c>
      <c r="F134" s="6">
        <v>0.55729058227496697</v>
      </c>
      <c r="G134" s="6">
        <v>0.56128114372961302</v>
      </c>
      <c r="H134" s="6">
        <v>3.47005343882296E-5</v>
      </c>
      <c r="I134" s="6">
        <v>0.26844333402734399</v>
      </c>
      <c r="J134" s="6">
        <v>1.2492192379762601E-2</v>
      </c>
      <c r="K134" s="6">
        <v>0</v>
      </c>
      <c r="L134" s="6">
        <v>0.15490318550905699</v>
      </c>
      <c r="M134" s="6">
        <v>2.8454438198348198E-3</v>
      </c>
      <c r="N134" s="5">
        <v>1</v>
      </c>
      <c r="O134" s="5">
        <v>0</v>
      </c>
      <c r="P134" s="5">
        <v>0</v>
      </c>
      <c r="Q134" s="5">
        <v>0</v>
      </c>
    </row>
    <row r="135" spans="1:17" x14ac:dyDescent="0.3">
      <c r="A135" s="2" t="s">
        <v>534</v>
      </c>
      <c r="B135" s="3" t="s">
        <v>869</v>
      </c>
      <c r="C135" s="3" t="s">
        <v>870</v>
      </c>
      <c r="D135" s="5">
        <v>92</v>
      </c>
      <c r="E135" s="6">
        <v>0.71513412518350505</v>
      </c>
      <c r="F135" s="6">
        <v>0.33279321519685601</v>
      </c>
      <c r="G135" s="6">
        <v>0.337688754050886</v>
      </c>
      <c r="H135" s="6">
        <v>3.1028063159346299E-4</v>
      </c>
      <c r="I135" s="6">
        <v>0.13476522098876101</v>
      </c>
      <c r="J135" s="6">
        <v>3.1476246293870198E-2</v>
      </c>
      <c r="K135" s="6">
        <v>0</v>
      </c>
      <c r="L135" s="6">
        <v>0.49013997104047402</v>
      </c>
      <c r="M135" s="6">
        <v>5.6195269944149502E-3</v>
      </c>
      <c r="N135" s="5">
        <v>0</v>
      </c>
      <c r="O135" s="5">
        <v>5</v>
      </c>
      <c r="P135" s="5">
        <v>0</v>
      </c>
      <c r="Q135" s="5">
        <v>0</v>
      </c>
    </row>
    <row r="136" spans="1:17" x14ac:dyDescent="0.3">
      <c r="A136" s="2" t="s">
        <v>540</v>
      </c>
      <c r="B136" s="3" t="s">
        <v>871</v>
      </c>
      <c r="C136" s="3" t="s">
        <v>872</v>
      </c>
      <c r="D136" s="5">
        <v>93</v>
      </c>
      <c r="E136" s="6">
        <v>0.70305551570793301</v>
      </c>
      <c r="F136" s="6">
        <v>0.472308115165258</v>
      </c>
      <c r="G136" s="6">
        <v>0.48069126640555199</v>
      </c>
      <c r="H136" s="6">
        <v>5.5658627087198497E-3</v>
      </c>
      <c r="I136" s="6">
        <v>0.210712567855425</v>
      </c>
      <c r="J136" s="6">
        <v>1.8896447467875999E-2</v>
      </c>
      <c r="K136" s="6">
        <v>0</v>
      </c>
      <c r="L136" s="6">
        <v>0.28210678210678197</v>
      </c>
      <c r="M136" s="6">
        <v>2.0270734556448798E-3</v>
      </c>
      <c r="N136" s="5">
        <v>0</v>
      </c>
      <c r="O136" s="5">
        <v>2</v>
      </c>
      <c r="P136" s="5">
        <v>2</v>
      </c>
      <c r="Q136" s="5">
        <v>0</v>
      </c>
    </row>
    <row r="137" spans="1:17" x14ac:dyDescent="0.3">
      <c r="A137" s="2" t="s">
        <v>544</v>
      </c>
      <c r="B137" s="3" t="s">
        <v>873</v>
      </c>
      <c r="C137" s="3" t="s">
        <v>874</v>
      </c>
      <c r="D137" s="5">
        <v>94</v>
      </c>
      <c r="E137" s="6">
        <v>0.75773195876288701</v>
      </c>
      <c r="F137" s="6">
        <v>0.51110729613733896</v>
      </c>
      <c r="G137" s="6">
        <v>0.51945064377682404</v>
      </c>
      <c r="H137" s="6">
        <v>1.9570815450643802E-3</v>
      </c>
      <c r="I137" s="6">
        <v>0.17438626609442101</v>
      </c>
      <c r="J137" s="6">
        <v>3.8832618025751102E-2</v>
      </c>
      <c r="K137" s="6">
        <v>0</v>
      </c>
      <c r="L137" s="6">
        <v>0.26104721030042899</v>
      </c>
      <c r="M137" s="6">
        <v>4.3261802575107304E-3</v>
      </c>
      <c r="N137" s="5">
        <v>1</v>
      </c>
      <c r="O137" s="5">
        <v>5</v>
      </c>
      <c r="P137" s="5">
        <v>0</v>
      </c>
      <c r="Q137" s="5">
        <v>0</v>
      </c>
    </row>
    <row r="138" spans="1:17" x14ac:dyDescent="0.3">
      <c r="A138" s="2" t="s">
        <v>549</v>
      </c>
      <c r="B138" s="3" t="s">
        <v>875</v>
      </c>
      <c r="C138" s="3" t="s">
        <v>876</v>
      </c>
      <c r="D138" s="5">
        <v>95</v>
      </c>
      <c r="E138" s="6">
        <v>0.74879774797669796</v>
      </c>
      <c r="F138" s="6">
        <v>0.58886040078267299</v>
      </c>
      <c r="G138" s="6">
        <v>0.59867755212198903</v>
      </c>
      <c r="H138" s="6">
        <v>1.0120774576614299E-4</v>
      </c>
      <c r="I138" s="6">
        <v>0.20703731192227201</v>
      </c>
      <c r="J138" s="6">
        <v>4.7331489103299401E-2</v>
      </c>
      <c r="K138" s="6">
        <v>0</v>
      </c>
      <c r="L138" s="6">
        <v>0.13814857297078501</v>
      </c>
      <c r="M138" s="6">
        <v>8.7038661358882705E-3</v>
      </c>
      <c r="N138" s="5">
        <v>2</v>
      </c>
      <c r="O138" s="5">
        <v>5</v>
      </c>
      <c r="P138" s="5">
        <v>0</v>
      </c>
      <c r="Q138" s="5">
        <v>0</v>
      </c>
    </row>
    <row r="139" spans="1:17" x14ac:dyDescent="0.3">
      <c r="A139" s="2" t="s">
        <v>553</v>
      </c>
      <c r="B139" s="3" t="s">
        <v>877</v>
      </c>
      <c r="C139" s="3" t="s">
        <v>878</v>
      </c>
      <c r="D139" s="5">
        <v>96</v>
      </c>
      <c r="E139" s="6">
        <v>0.78184534927157301</v>
      </c>
      <c r="F139" s="6">
        <v>0.34289424860853401</v>
      </c>
      <c r="G139" s="6">
        <v>0.345936920222634</v>
      </c>
      <c r="H139" s="6">
        <v>0</v>
      </c>
      <c r="I139" s="6">
        <v>0.103821892393321</v>
      </c>
      <c r="J139" s="6">
        <v>4.2374768089053799E-2</v>
      </c>
      <c r="K139" s="6">
        <v>0</v>
      </c>
      <c r="L139" s="6">
        <v>0.50508348794063096</v>
      </c>
      <c r="M139" s="6">
        <v>2.7829313543599201E-3</v>
      </c>
      <c r="N139" s="5">
        <v>0</v>
      </c>
      <c r="O139" s="5">
        <v>5</v>
      </c>
      <c r="P139" s="5">
        <v>0</v>
      </c>
      <c r="Q139" s="5">
        <v>0</v>
      </c>
    </row>
    <row r="140" spans="1:17" x14ac:dyDescent="0.3">
      <c r="A140" s="2" t="s">
        <v>557</v>
      </c>
      <c r="B140" s="3" t="s">
        <v>879</v>
      </c>
      <c r="C140" s="3" t="s">
        <v>880</v>
      </c>
      <c r="D140" s="5">
        <v>97</v>
      </c>
      <c r="E140" s="6">
        <v>0.730752309722833</v>
      </c>
      <c r="F140" s="6">
        <v>0.497486459313074</v>
      </c>
      <c r="G140" s="6">
        <v>0.50004864917458602</v>
      </c>
      <c r="H140" s="6">
        <v>2.5946226445691298E-4</v>
      </c>
      <c r="I140" s="6">
        <v>0.19063989880971699</v>
      </c>
      <c r="J140" s="6">
        <v>3.8400415139623098E-2</v>
      </c>
      <c r="K140" s="6">
        <v>0</v>
      </c>
      <c r="L140" s="6">
        <v>0.26675964064476398</v>
      </c>
      <c r="M140" s="6">
        <v>3.8919339668536902E-3</v>
      </c>
      <c r="N140" s="5">
        <v>0</v>
      </c>
      <c r="O140" s="5">
        <v>6</v>
      </c>
      <c r="P140" s="5">
        <v>0</v>
      </c>
      <c r="Q140" s="5">
        <v>1</v>
      </c>
    </row>
    <row r="141" spans="1:17" x14ac:dyDescent="0.3">
      <c r="A141" s="2" t="s">
        <v>560</v>
      </c>
      <c r="B141" s="3" t="s">
        <v>881</v>
      </c>
      <c r="C141" s="3" t="s">
        <v>882</v>
      </c>
      <c r="D141" s="5">
        <v>98</v>
      </c>
      <c r="E141" s="6">
        <v>0.68252038895859501</v>
      </c>
      <c r="F141" s="6">
        <v>0.52431431936732298</v>
      </c>
      <c r="G141" s="6">
        <v>0.53575635201076899</v>
      </c>
      <c r="H141" s="6">
        <v>1.6153457849570899E-2</v>
      </c>
      <c r="I141" s="6">
        <v>0.26585899377418798</v>
      </c>
      <c r="J141" s="6">
        <v>3.3888608446912299E-2</v>
      </c>
      <c r="K141" s="6">
        <v>0</v>
      </c>
      <c r="L141" s="6">
        <v>0.142049469964664</v>
      </c>
      <c r="M141" s="6">
        <v>6.2931179538953403E-3</v>
      </c>
      <c r="N141" s="5">
        <v>2</v>
      </c>
      <c r="O141" s="5">
        <v>3</v>
      </c>
      <c r="P141" s="5">
        <v>1</v>
      </c>
      <c r="Q141" s="5">
        <v>0</v>
      </c>
    </row>
    <row r="142" spans="1:17" x14ac:dyDescent="0.3">
      <c r="A142" s="2" t="s">
        <v>562</v>
      </c>
      <c r="B142" s="3" t="s">
        <v>883</v>
      </c>
      <c r="C142" s="3" t="s">
        <v>884</v>
      </c>
      <c r="D142" s="5">
        <v>99</v>
      </c>
      <c r="E142" s="6">
        <v>0.79292334853611901</v>
      </c>
      <c r="F142" s="6">
        <v>0.31066956086157999</v>
      </c>
      <c r="G142" s="6">
        <v>0.32963766905994302</v>
      </c>
      <c r="H142" s="6">
        <v>1.1521122057104699E-2</v>
      </c>
      <c r="I142" s="6">
        <v>9.1534479879779598E-2</v>
      </c>
      <c r="J142" s="6">
        <v>1.8801135414927402E-2</v>
      </c>
      <c r="K142" s="6">
        <v>0</v>
      </c>
      <c r="L142" s="6">
        <v>0.54623476373351099</v>
      </c>
      <c r="M142" s="6">
        <v>2.2708298547336799E-3</v>
      </c>
      <c r="N142" s="5">
        <v>0</v>
      </c>
      <c r="O142" s="5">
        <v>2</v>
      </c>
      <c r="P142" s="5">
        <v>2</v>
      </c>
      <c r="Q142" s="5">
        <v>0</v>
      </c>
    </row>
    <row r="143" spans="1:17" x14ac:dyDescent="0.3">
      <c r="A143" s="2" t="s">
        <v>568</v>
      </c>
      <c r="B143" s="3" t="s">
        <v>885</v>
      </c>
      <c r="C143" s="3" t="s">
        <v>886</v>
      </c>
      <c r="D143" s="5">
        <v>100</v>
      </c>
      <c r="E143" s="6">
        <v>0.75476458486977405</v>
      </c>
      <c r="F143" s="6">
        <v>0.58462473412336702</v>
      </c>
      <c r="G143" s="6">
        <v>0.59569870691110405</v>
      </c>
      <c r="H143" s="6">
        <v>6.7524224315473205E-5</v>
      </c>
      <c r="I143" s="6">
        <v>0.17384111550018599</v>
      </c>
      <c r="J143" s="6">
        <v>5.8475978257199801E-2</v>
      </c>
      <c r="K143" s="6">
        <v>0</v>
      </c>
      <c r="L143" s="6">
        <v>0.15138931091529101</v>
      </c>
      <c r="M143" s="6">
        <v>2.0527364191903801E-2</v>
      </c>
      <c r="N143" s="5">
        <v>2</v>
      </c>
      <c r="O143" s="5">
        <v>10</v>
      </c>
      <c r="P143" s="5">
        <v>0</v>
      </c>
      <c r="Q143" s="5">
        <v>1</v>
      </c>
    </row>
    <row r="144" spans="1:17" x14ac:dyDescent="0.3">
      <c r="A144" s="2" t="s">
        <v>570</v>
      </c>
      <c r="B144" s="3" t="s">
        <v>887</v>
      </c>
      <c r="C144" s="3" t="s">
        <v>888</v>
      </c>
      <c r="D144" s="5">
        <v>101</v>
      </c>
      <c r="E144" s="6">
        <v>0.85263766201601598</v>
      </c>
      <c r="F144" s="6">
        <v>0.31685816164817698</v>
      </c>
      <c r="G144" s="6">
        <v>0.323230322239831</v>
      </c>
      <c r="H144" s="6">
        <v>8.2540940306391995E-3</v>
      </c>
      <c r="I144" s="6">
        <v>5.1406497622820901E-2</v>
      </c>
      <c r="J144" s="6">
        <v>9.5087163232963502E-3</v>
      </c>
      <c r="K144" s="6">
        <v>0</v>
      </c>
      <c r="L144" s="6">
        <v>0.60136027469624898</v>
      </c>
      <c r="M144" s="6">
        <v>6.2400950871632299E-3</v>
      </c>
      <c r="N144" s="5">
        <v>3</v>
      </c>
      <c r="O144" s="5">
        <v>1</v>
      </c>
      <c r="P144" s="5">
        <v>2</v>
      </c>
      <c r="Q144" s="5">
        <v>0</v>
      </c>
    </row>
    <row r="145" spans="1:17" x14ac:dyDescent="0.3">
      <c r="A145" s="2" t="s">
        <v>575</v>
      </c>
      <c r="B145" s="3" t="s">
        <v>889</v>
      </c>
      <c r="C145" s="3" t="s">
        <v>890</v>
      </c>
      <c r="D145" s="5">
        <v>102</v>
      </c>
      <c r="E145" s="6">
        <v>0.68513302034428802</v>
      </c>
      <c r="F145" s="6">
        <v>0.56375322197301903</v>
      </c>
      <c r="G145" s="6">
        <v>0.565795199678639</v>
      </c>
      <c r="H145" s="6">
        <v>0</v>
      </c>
      <c r="I145" s="6">
        <v>0.26462022562179899</v>
      </c>
      <c r="J145" s="6">
        <v>2.04197770562046E-2</v>
      </c>
      <c r="K145" s="6">
        <v>0</v>
      </c>
      <c r="L145" s="6">
        <v>0.14474609178857201</v>
      </c>
      <c r="M145" s="6">
        <v>4.4187058547852601E-3</v>
      </c>
      <c r="N145" s="5">
        <v>0</v>
      </c>
      <c r="O145" s="5">
        <v>1</v>
      </c>
      <c r="P145" s="5">
        <v>0</v>
      </c>
      <c r="Q145" s="5">
        <v>0</v>
      </c>
    </row>
    <row r="146" spans="1:17" x14ac:dyDescent="0.3">
      <c r="A146" s="2" t="s">
        <v>577</v>
      </c>
      <c r="B146" s="3" t="s">
        <v>891</v>
      </c>
      <c r="C146" s="3" t="s">
        <v>892</v>
      </c>
      <c r="D146" s="5">
        <v>103</v>
      </c>
      <c r="E146" s="6">
        <v>0.69218116021493603</v>
      </c>
      <c r="F146" s="6">
        <v>0.54779147908918902</v>
      </c>
      <c r="G146" s="6">
        <v>0.55575128857571598</v>
      </c>
      <c r="H146" s="6">
        <v>3.26221700267502E-5</v>
      </c>
      <c r="I146" s="6">
        <v>0.26867619234031398</v>
      </c>
      <c r="J146" s="6">
        <v>6.1949500880798598E-2</v>
      </c>
      <c r="K146" s="6">
        <v>0</v>
      </c>
      <c r="L146" s="6">
        <v>0.109773602140014</v>
      </c>
      <c r="M146" s="6">
        <v>3.81679389312977E-3</v>
      </c>
      <c r="N146" s="5">
        <v>0</v>
      </c>
      <c r="O146" s="5">
        <v>7</v>
      </c>
      <c r="P146" s="5">
        <v>0</v>
      </c>
      <c r="Q146" s="5">
        <v>0</v>
      </c>
    </row>
    <row r="147" spans="1:17" x14ac:dyDescent="0.3">
      <c r="A147" s="2" t="s">
        <v>580</v>
      </c>
      <c r="B147" s="3" t="s">
        <v>893</v>
      </c>
      <c r="C147" s="3" t="s">
        <v>894</v>
      </c>
      <c r="D147" s="5">
        <v>104</v>
      </c>
      <c r="E147" s="6">
        <v>0.75764281138997303</v>
      </c>
      <c r="F147" s="6">
        <v>0.37965983593576802</v>
      </c>
      <c r="G147" s="6">
        <v>0.38415734963418102</v>
      </c>
      <c r="H147" s="6">
        <v>6.3345263357932397E-5</v>
      </c>
      <c r="I147" s="6">
        <v>0.124948531973522</v>
      </c>
      <c r="J147" s="6">
        <v>2.78719158774903E-2</v>
      </c>
      <c r="K147" s="6">
        <v>0</v>
      </c>
      <c r="L147" s="6">
        <v>0.46083679092895802</v>
      </c>
      <c r="M147" s="6">
        <v>2.12206632249074E-3</v>
      </c>
      <c r="N147" s="5">
        <v>2</v>
      </c>
      <c r="O147" s="5">
        <v>5</v>
      </c>
      <c r="P147" s="5">
        <v>0</v>
      </c>
      <c r="Q147" s="5">
        <v>0</v>
      </c>
    </row>
    <row r="148" spans="1:17" x14ac:dyDescent="0.3">
      <c r="A148" s="2" t="s">
        <v>586</v>
      </c>
      <c r="B148" s="3" t="s">
        <v>895</v>
      </c>
      <c r="C148" s="3" t="s">
        <v>896</v>
      </c>
      <c r="D148" s="5">
        <v>105</v>
      </c>
      <c r="E148" s="6">
        <v>0.74111516006426104</v>
      </c>
      <c r="F148" s="6">
        <v>0.56529498922413801</v>
      </c>
      <c r="G148" s="6">
        <v>0.57401670258620696</v>
      </c>
      <c r="H148" s="6">
        <v>1.4816810344827601E-3</v>
      </c>
      <c r="I148" s="6">
        <v>0.21046605603448301</v>
      </c>
      <c r="J148" s="6">
        <v>6.1422413793103398E-2</v>
      </c>
      <c r="K148" s="6">
        <v>0</v>
      </c>
      <c r="L148" s="6">
        <v>0.145844558189655</v>
      </c>
      <c r="M148" s="6">
        <v>6.7685883620689702E-3</v>
      </c>
      <c r="N148" s="5">
        <v>0</v>
      </c>
      <c r="O148" s="5">
        <v>12</v>
      </c>
      <c r="P148" s="5">
        <v>1</v>
      </c>
      <c r="Q148" s="5">
        <v>0</v>
      </c>
    </row>
    <row r="149" spans="1:17" x14ac:dyDescent="0.3">
      <c r="A149" s="2" t="s">
        <v>590</v>
      </c>
      <c r="B149" s="3" t="s">
        <v>897</v>
      </c>
      <c r="C149" s="3" t="s">
        <v>898</v>
      </c>
      <c r="D149" s="5">
        <v>106</v>
      </c>
      <c r="E149" s="6">
        <v>0.66200806970352599</v>
      </c>
      <c r="F149" s="6">
        <v>0.60261183662128404</v>
      </c>
      <c r="G149" s="6">
        <v>0.60955821061405902</v>
      </c>
      <c r="H149" s="6">
        <v>2.22283967768825E-4</v>
      </c>
      <c r="I149" s="6">
        <v>0.303417616004446</v>
      </c>
      <c r="J149" s="6">
        <v>1.8560711308696898E-2</v>
      </c>
      <c r="K149" s="6">
        <v>0</v>
      </c>
      <c r="L149" s="6">
        <v>5.0180605723812201E-2</v>
      </c>
      <c r="M149" s="6">
        <v>1.8060572381216999E-2</v>
      </c>
      <c r="N149" s="5">
        <v>0</v>
      </c>
      <c r="O149" s="5">
        <v>1</v>
      </c>
      <c r="P149" s="5">
        <v>0</v>
      </c>
      <c r="Q149" s="5">
        <v>4</v>
      </c>
    </row>
    <row r="150" spans="1:17" x14ac:dyDescent="0.3">
      <c r="A150" s="2" t="s">
        <v>592</v>
      </c>
      <c r="B150" s="3" t="s">
        <v>899</v>
      </c>
      <c r="C150" s="3" t="s">
        <v>900</v>
      </c>
      <c r="D150" s="5">
        <v>107</v>
      </c>
      <c r="E150" s="6">
        <v>0.73796815033746499</v>
      </c>
      <c r="F150" s="6">
        <v>0.49813523593319298</v>
      </c>
      <c r="G150" s="6">
        <v>0.50796173179828097</v>
      </c>
      <c r="H150" s="6">
        <v>2.4647316361277802E-3</v>
      </c>
      <c r="I150" s="6">
        <v>0.183946813685747</v>
      </c>
      <c r="J150" s="6">
        <v>3.2106372628506602E-2</v>
      </c>
      <c r="K150" s="6">
        <v>0</v>
      </c>
      <c r="L150" s="6">
        <v>0.26628830874006798</v>
      </c>
      <c r="M150" s="6">
        <v>7.2320415112696601E-3</v>
      </c>
      <c r="N150" s="5">
        <v>4</v>
      </c>
      <c r="O150" s="5">
        <v>5</v>
      </c>
      <c r="P150" s="5">
        <v>0</v>
      </c>
      <c r="Q150" s="5">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5812C-7276-4FCD-ABC7-3EA219BB62C9}">
  <sheetPr codeName="Sheet3"/>
  <dimension ref="A1:J150"/>
  <sheetViews>
    <sheetView workbookViewId="0">
      <selection activeCell="B2" sqref="B2"/>
    </sheetView>
  </sheetViews>
  <sheetFormatPr defaultRowHeight="14.4" x14ac:dyDescent="0.3"/>
  <cols>
    <col min="1" max="10" width="25.77734375" customWidth="1"/>
  </cols>
  <sheetData>
    <row r="1" spans="1:10" x14ac:dyDescent="0.3">
      <c r="A1" s="4" t="s">
        <v>0</v>
      </c>
      <c r="B1" s="4" t="s">
        <v>598</v>
      </c>
      <c r="C1" s="4" t="s">
        <v>901</v>
      </c>
      <c r="D1" s="4" t="s">
        <v>902</v>
      </c>
      <c r="E1" s="4" t="s">
        <v>903</v>
      </c>
      <c r="F1" s="4" t="s">
        <v>904</v>
      </c>
      <c r="G1" s="4" t="s">
        <v>905</v>
      </c>
      <c r="H1" s="4" t="s">
        <v>906</v>
      </c>
      <c r="I1" s="4" t="s">
        <v>907</v>
      </c>
      <c r="J1" s="4" t="s">
        <v>908</v>
      </c>
    </row>
    <row r="2" spans="1:10" x14ac:dyDescent="0.3">
      <c r="A2" s="2" t="s">
        <v>9</v>
      </c>
      <c r="B2" s="5">
        <v>98</v>
      </c>
      <c r="C2" s="6">
        <v>0</v>
      </c>
      <c r="D2" s="6">
        <v>0</v>
      </c>
      <c r="E2" s="6">
        <v>0</v>
      </c>
      <c r="F2" s="6">
        <v>0.10294117647058799</v>
      </c>
      <c r="G2" s="6">
        <v>0</v>
      </c>
      <c r="H2" s="3" t="s">
        <v>909</v>
      </c>
      <c r="I2" s="3" t="s">
        <v>910</v>
      </c>
      <c r="J2" s="3" t="s">
        <v>911</v>
      </c>
    </row>
    <row r="3" spans="1:10" x14ac:dyDescent="0.3">
      <c r="A3" s="2" t="s">
        <v>14</v>
      </c>
      <c r="B3" s="5">
        <v>23</v>
      </c>
      <c r="C3" s="6">
        <v>0</v>
      </c>
      <c r="D3" s="6">
        <v>0</v>
      </c>
      <c r="E3" s="6">
        <v>0</v>
      </c>
      <c r="F3" s="6">
        <v>0.10294117647058799</v>
      </c>
      <c r="G3" s="6">
        <v>0</v>
      </c>
      <c r="H3" s="3" t="s">
        <v>909</v>
      </c>
      <c r="I3" s="3" t="s">
        <v>910</v>
      </c>
      <c r="J3" s="3" t="s">
        <v>911</v>
      </c>
    </row>
    <row r="4" spans="1:10" x14ac:dyDescent="0.3">
      <c r="A4" s="2" t="s">
        <v>18</v>
      </c>
      <c r="B4" s="5">
        <v>28</v>
      </c>
      <c r="C4" s="6">
        <v>1.4705882352941201E-2</v>
      </c>
      <c r="D4" s="6">
        <v>0</v>
      </c>
      <c r="E4" s="6">
        <v>0</v>
      </c>
      <c r="F4" s="6">
        <v>7.3529411764705899E-2</v>
      </c>
      <c r="G4" s="6">
        <v>0</v>
      </c>
      <c r="H4" s="3" t="s">
        <v>912</v>
      </c>
      <c r="I4" s="3" t="s">
        <v>12</v>
      </c>
      <c r="J4" s="3" t="s">
        <v>913</v>
      </c>
    </row>
    <row r="5" spans="1:10" x14ac:dyDescent="0.3">
      <c r="A5" s="2" t="s">
        <v>23</v>
      </c>
      <c r="B5" s="5">
        <v>29</v>
      </c>
      <c r="C5" s="6">
        <v>1.4705882352941201E-2</v>
      </c>
      <c r="D5" s="6">
        <v>0</v>
      </c>
      <c r="E5" s="6">
        <v>0</v>
      </c>
      <c r="F5" s="6">
        <v>7.3529411764705899E-2</v>
      </c>
      <c r="G5" s="6">
        <v>0</v>
      </c>
      <c r="H5" s="3" t="s">
        <v>912</v>
      </c>
      <c r="I5" s="3" t="s">
        <v>12</v>
      </c>
      <c r="J5" s="3" t="s">
        <v>913</v>
      </c>
    </row>
    <row r="6" spans="1:10" x14ac:dyDescent="0.3">
      <c r="A6" s="2" t="s">
        <v>28</v>
      </c>
      <c r="B6" s="5">
        <v>93</v>
      </c>
      <c r="C6" s="6">
        <v>8.3333333333333301E-2</v>
      </c>
      <c r="D6" s="6">
        <v>0</v>
      </c>
      <c r="E6" s="6">
        <v>0</v>
      </c>
      <c r="F6" s="6">
        <v>0.16666666666666699</v>
      </c>
      <c r="G6" s="6">
        <v>0.1</v>
      </c>
      <c r="H6" s="3" t="s">
        <v>914</v>
      </c>
      <c r="I6" s="3" t="s">
        <v>915</v>
      </c>
      <c r="J6" s="3" t="s">
        <v>916</v>
      </c>
    </row>
    <row r="7" spans="1:10" x14ac:dyDescent="0.3">
      <c r="A7" s="2" t="s">
        <v>33</v>
      </c>
      <c r="B7" s="5">
        <v>92</v>
      </c>
      <c r="C7" s="6">
        <v>8.3333333333333301E-2</v>
      </c>
      <c r="D7" s="6">
        <v>0</v>
      </c>
      <c r="E7" s="6">
        <v>0</v>
      </c>
      <c r="F7" s="6">
        <v>0.16666666666666699</v>
      </c>
      <c r="G7" s="6">
        <v>0.1</v>
      </c>
      <c r="H7" s="3" t="s">
        <v>914</v>
      </c>
      <c r="I7" s="3" t="s">
        <v>915</v>
      </c>
      <c r="J7" s="3" t="s">
        <v>916</v>
      </c>
    </row>
    <row r="8" spans="1:10" x14ac:dyDescent="0.3">
      <c r="A8" s="2" t="s">
        <v>37</v>
      </c>
      <c r="B8" s="5">
        <v>26</v>
      </c>
      <c r="C8" s="6">
        <v>5.4545454545454501E-2</v>
      </c>
      <c r="D8" s="6">
        <v>0</v>
      </c>
      <c r="E8" s="6">
        <v>1.7857142857142901E-2</v>
      </c>
      <c r="F8" s="6">
        <v>0.109090909090909</v>
      </c>
      <c r="G8" s="6">
        <v>0</v>
      </c>
      <c r="H8" s="3" t="s">
        <v>917</v>
      </c>
      <c r="I8" s="3" t="s">
        <v>12</v>
      </c>
      <c r="J8" s="3" t="s">
        <v>918</v>
      </c>
    </row>
    <row r="9" spans="1:10" x14ac:dyDescent="0.3">
      <c r="A9" s="2" t="s">
        <v>42</v>
      </c>
      <c r="B9" s="5">
        <v>90</v>
      </c>
      <c r="C9" s="6">
        <v>5.4545454545454501E-2</v>
      </c>
      <c r="D9" s="6">
        <v>0</v>
      </c>
      <c r="E9" s="6">
        <v>1.7857142857142901E-2</v>
      </c>
      <c r="F9" s="6">
        <v>0.109090909090909</v>
      </c>
      <c r="G9" s="6">
        <v>0</v>
      </c>
      <c r="H9" s="3" t="s">
        <v>917</v>
      </c>
      <c r="I9" s="3" t="s">
        <v>12</v>
      </c>
      <c r="J9" s="3" t="s">
        <v>918</v>
      </c>
    </row>
    <row r="10" spans="1:10" x14ac:dyDescent="0.3">
      <c r="A10" s="2" t="s">
        <v>46</v>
      </c>
      <c r="B10" s="5">
        <v>89</v>
      </c>
      <c r="C10" s="6">
        <v>0</v>
      </c>
      <c r="D10" s="6">
        <v>0</v>
      </c>
      <c r="E10" s="6">
        <v>0</v>
      </c>
      <c r="F10" s="6">
        <v>6.8181818181818205E-2</v>
      </c>
      <c r="G10" s="6">
        <v>0</v>
      </c>
      <c r="H10" s="3" t="s">
        <v>919</v>
      </c>
      <c r="I10" s="3" t="s">
        <v>920</v>
      </c>
      <c r="J10" s="3" t="s">
        <v>921</v>
      </c>
    </row>
    <row r="11" spans="1:10" x14ac:dyDescent="0.3">
      <c r="A11" s="2" t="s">
        <v>50</v>
      </c>
      <c r="B11" s="5">
        <v>54</v>
      </c>
      <c r="C11" s="6">
        <v>0</v>
      </c>
      <c r="D11" s="6">
        <v>0</v>
      </c>
      <c r="E11" s="6">
        <v>0</v>
      </c>
      <c r="F11" s="6">
        <v>6.8181818181818205E-2</v>
      </c>
      <c r="G11" s="6">
        <v>0</v>
      </c>
      <c r="H11" s="3" t="s">
        <v>919</v>
      </c>
      <c r="I11" s="3" t="s">
        <v>920</v>
      </c>
      <c r="J11" s="3" t="s">
        <v>921</v>
      </c>
    </row>
    <row r="12" spans="1:10" x14ac:dyDescent="0.3">
      <c r="A12" s="2" t="s">
        <v>54</v>
      </c>
      <c r="B12" s="5">
        <v>87</v>
      </c>
      <c r="C12" s="6">
        <v>0</v>
      </c>
      <c r="D12" s="6">
        <v>0</v>
      </c>
      <c r="E12" s="6">
        <v>0</v>
      </c>
      <c r="F12" s="6">
        <v>6.5217391304347797E-2</v>
      </c>
      <c r="G12" s="6">
        <v>0</v>
      </c>
      <c r="H12" s="3" t="s">
        <v>922</v>
      </c>
      <c r="I12" s="3" t="s">
        <v>923</v>
      </c>
      <c r="J12" s="3" t="s">
        <v>924</v>
      </c>
    </row>
    <row r="13" spans="1:10" x14ac:dyDescent="0.3">
      <c r="A13" s="2" t="s">
        <v>58</v>
      </c>
      <c r="B13" s="5">
        <v>65</v>
      </c>
      <c r="C13" s="6">
        <v>0</v>
      </c>
      <c r="D13" s="6">
        <v>0</v>
      </c>
      <c r="E13" s="6">
        <v>0</v>
      </c>
      <c r="F13" s="6">
        <v>6.5217391304347797E-2</v>
      </c>
      <c r="G13" s="6">
        <v>0</v>
      </c>
      <c r="H13" s="3" t="s">
        <v>922</v>
      </c>
      <c r="I13" s="3" t="s">
        <v>923</v>
      </c>
      <c r="J13" s="3" t="s">
        <v>924</v>
      </c>
    </row>
    <row r="14" spans="1:10" x14ac:dyDescent="0.3">
      <c r="A14" s="2" t="s">
        <v>63</v>
      </c>
      <c r="B14" s="5">
        <v>85</v>
      </c>
      <c r="C14" s="6">
        <v>0</v>
      </c>
      <c r="D14" s="6">
        <v>0</v>
      </c>
      <c r="E14" s="6">
        <v>0</v>
      </c>
      <c r="F14" s="6">
        <v>7.69230769230769E-2</v>
      </c>
      <c r="G14" s="6">
        <v>0</v>
      </c>
      <c r="H14" s="3" t="s">
        <v>925</v>
      </c>
      <c r="I14" s="3" t="s">
        <v>12</v>
      </c>
      <c r="J14" s="3" t="s">
        <v>926</v>
      </c>
    </row>
    <row r="15" spans="1:10" x14ac:dyDescent="0.3">
      <c r="A15" s="2" t="s">
        <v>68</v>
      </c>
      <c r="B15" s="5">
        <v>65</v>
      </c>
      <c r="C15" s="6">
        <v>0</v>
      </c>
      <c r="D15" s="6">
        <v>0</v>
      </c>
      <c r="E15" s="6">
        <v>0</v>
      </c>
      <c r="F15" s="6">
        <v>7.69230769230769E-2</v>
      </c>
      <c r="G15" s="6">
        <v>0</v>
      </c>
      <c r="H15" s="3" t="s">
        <v>925</v>
      </c>
      <c r="I15" s="3" t="s">
        <v>12</v>
      </c>
      <c r="J15" s="3" t="s">
        <v>926</v>
      </c>
    </row>
    <row r="16" spans="1:10" x14ac:dyDescent="0.3">
      <c r="A16" s="2" t="s">
        <v>72</v>
      </c>
      <c r="B16" s="5">
        <v>83</v>
      </c>
      <c r="C16" s="6">
        <v>9.6385542168674704E-2</v>
      </c>
      <c r="D16" s="6">
        <v>0</v>
      </c>
      <c r="E16" s="6">
        <v>1.1904761904761901E-2</v>
      </c>
      <c r="F16" s="6">
        <v>0.132530120481928</v>
      </c>
      <c r="G16" s="6">
        <v>9.0909090909090898E-2</v>
      </c>
      <c r="H16" s="3" t="s">
        <v>922</v>
      </c>
      <c r="I16" s="3" t="s">
        <v>927</v>
      </c>
      <c r="J16" s="3" t="s">
        <v>928</v>
      </c>
    </row>
    <row r="17" spans="1:10" x14ac:dyDescent="0.3">
      <c r="A17" s="2" t="s">
        <v>76</v>
      </c>
      <c r="B17" s="5">
        <v>82</v>
      </c>
      <c r="C17" s="6">
        <v>9.6385542168674704E-2</v>
      </c>
      <c r="D17" s="6">
        <v>0</v>
      </c>
      <c r="E17" s="6">
        <v>1.1904761904761901E-2</v>
      </c>
      <c r="F17" s="6">
        <v>0.132530120481928</v>
      </c>
      <c r="G17" s="6">
        <v>9.0909090909090898E-2</v>
      </c>
      <c r="H17" s="3" t="s">
        <v>922</v>
      </c>
      <c r="I17" s="3" t="s">
        <v>927</v>
      </c>
      <c r="J17" s="3" t="s">
        <v>928</v>
      </c>
    </row>
    <row r="18" spans="1:10" x14ac:dyDescent="0.3">
      <c r="A18" s="2" t="s">
        <v>81</v>
      </c>
      <c r="B18" s="5">
        <v>81</v>
      </c>
      <c r="C18" s="6">
        <v>3.03030303030303E-2</v>
      </c>
      <c r="D18" s="6">
        <v>0</v>
      </c>
      <c r="E18" s="6">
        <v>2.8571428571428598E-2</v>
      </c>
      <c r="F18" s="6">
        <v>7.5757575757575801E-2</v>
      </c>
      <c r="G18" s="6">
        <v>0</v>
      </c>
      <c r="H18" s="3" t="s">
        <v>929</v>
      </c>
      <c r="I18" s="3" t="s">
        <v>926</v>
      </c>
      <c r="J18" s="3" t="s">
        <v>913</v>
      </c>
    </row>
    <row r="19" spans="1:10" x14ac:dyDescent="0.3">
      <c r="A19" s="2" t="s">
        <v>85</v>
      </c>
      <c r="B19" s="5">
        <v>80</v>
      </c>
      <c r="C19" s="6">
        <v>3.03030303030303E-2</v>
      </c>
      <c r="D19" s="6">
        <v>0</v>
      </c>
      <c r="E19" s="6">
        <v>2.8571428571428598E-2</v>
      </c>
      <c r="F19" s="6">
        <v>7.5757575757575801E-2</v>
      </c>
      <c r="G19" s="6">
        <v>0</v>
      </c>
      <c r="H19" s="3" t="s">
        <v>929</v>
      </c>
      <c r="I19" s="3" t="s">
        <v>926</v>
      </c>
      <c r="J19" s="3" t="s">
        <v>913</v>
      </c>
    </row>
    <row r="20" spans="1:10" x14ac:dyDescent="0.3">
      <c r="A20" s="2" t="s">
        <v>88</v>
      </c>
      <c r="B20" s="5">
        <v>79</v>
      </c>
      <c r="C20" s="6">
        <v>5.9701492537313397E-2</v>
      </c>
      <c r="D20" s="6">
        <v>0</v>
      </c>
      <c r="E20" s="6">
        <v>0</v>
      </c>
      <c r="F20" s="6">
        <v>0.104477611940299</v>
      </c>
      <c r="G20" s="6">
        <v>0</v>
      </c>
      <c r="H20" s="3" t="s">
        <v>930</v>
      </c>
      <c r="I20" s="3" t="s">
        <v>910</v>
      </c>
      <c r="J20" s="3" t="s">
        <v>926</v>
      </c>
    </row>
    <row r="21" spans="1:10" x14ac:dyDescent="0.3">
      <c r="A21" s="2" t="s">
        <v>94</v>
      </c>
      <c r="B21" s="5">
        <v>78</v>
      </c>
      <c r="C21" s="6">
        <v>5.9701492537313397E-2</v>
      </c>
      <c r="D21" s="6">
        <v>0</v>
      </c>
      <c r="E21" s="6">
        <v>0</v>
      </c>
      <c r="F21" s="6">
        <v>0.104477611940299</v>
      </c>
      <c r="G21" s="6">
        <v>0</v>
      </c>
      <c r="H21" s="3" t="s">
        <v>930</v>
      </c>
      <c r="I21" s="3" t="s">
        <v>910</v>
      </c>
      <c r="J21" s="3" t="s">
        <v>926</v>
      </c>
    </row>
    <row r="22" spans="1:10" x14ac:dyDescent="0.3">
      <c r="A22" s="2" t="s">
        <v>99</v>
      </c>
      <c r="B22" s="5">
        <v>77</v>
      </c>
      <c r="C22" s="6">
        <v>2.9850746268656699E-2</v>
      </c>
      <c r="D22" s="6">
        <v>0</v>
      </c>
      <c r="E22" s="6">
        <v>0</v>
      </c>
      <c r="F22" s="6">
        <v>0.119402985074627</v>
      </c>
      <c r="G22" s="6">
        <v>0</v>
      </c>
      <c r="H22" s="3" t="s">
        <v>931</v>
      </c>
      <c r="I22" s="3" t="s">
        <v>932</v>
      </c>
      <c r="J22" s="3" t="s">
        <v>911</v>
      </c>
    </row>
    <row r="23" spans="1:10" x14ac:dyDescent="0.3">
      <c r="A23" s="2" t="s">
        <v>103</v>
      </c>
      <c r="B23" s="5">
        <v>76</v>
      </c>
      <c r="C23" s="6">
        <v>2.9850746268656699E-2</v>
      </c>
      <c r="D23" s="6">
        <v>0</v>
      </c>
      <c r="E23" s="6">
        <v>0</v>
      </c>
      <c r="F23" s="6">
        <v>0.119402985074627</v>
      </c>
      <c r="G23" s="6">
        <v>0</v>
      </c>
      <c r="H23" s="3" t="s">
        <v>931</v>
      </c>
      <c r="I23" s="3" t="s">
        <v>932</v>
      </c>
      <c r="J23" s="3" t="s">
        <v>911</v>
      </c>
    </row>
    <row r="24" spans="1:10" x14ac:dyDescent="0.3">
      <c r="A24" s="2" t="s">
        <v>107</v>
      </c>
      <c r="B24" s="5">
        <v>75</v>
      </c>
      <c r="C24" s="6">
        <v>7.2727272727272696E-2</v>
      </c>
      <c r="D24" s="6">
        <v>0</v>
      </c>
      <c r="E24" s="6">
        <v>1.7543859649122799E-2</v>
      </c>
      <c r="F24" s="6">
        <v>7.2727272727272696E-2</v>
      </c>
      <c r="G24" s="6">
        <v>0</v>
      </c>
      <c r="H24" s="3" t="s">
        <v>933</v>
      </c>
      <c r="I24" s="3" t="s">
        <v>12</v>
      </c>
      <c r="J24" s="3" t="s">
        <v>934</v>
      </c>
    </row>
    <row r="25" spans="1:10" x14ac:dyDescent="0.3">
      <c r="A25" s="2" t="s">
        <v>112</v>
      </c>
      <c r="B25" s="5">
        <v>74</v>
      </c>
      <c r="C25" s="6">
        <v>7.2727272727272696E-2</v>
      </c>
      <c r="D25" s="6">
        <v>0</v>
      </c>
      <c r="E25" s="6">
        <v>1.7543859649122799E-2</v>
      </c>
      <c r="F25" s="6">
        <v>7.2727272727272696E-2</v>
      </c>
      <c r="G25" s="6">
        <v>0</v>
      </c>
      <c r="H25" s="3" t="s">
        <v>933</v>
      </c>
      <c r="I25" s="3" t="s">
        <v>12</v>
      </c>
      <c r="J25" s="3" t="s">
        <v>934</v>
      </c>
    </row>
    <row r="26" spans="1:10" x14ac:dyDescent="0.3">
      <c r="A26" s="2" t="s">
        <v>117</v>
      </c>
      <c r="B26" s="5">
        <v>73</v>
      </c>
      <c r="C26" s="6">
        <v>9.0909090909090898E-2</v>
      </c>
      <c r="D26" s="6">
        <v>0</v>
      </c>
      <c r="E26" s="6">
        <v>0</v>
      </c>
      <c r="F26" s="6">
        <v>0.10606060606060599</v>
      </c>
      <c r="G26" s="6">
        <v>0</v>
      </c>
      <c r="H26" s="3" t="s">
        <v>933</v>
      </c>
      <c r="I26" s="3" t="s">
        <v>910</v>
      </c>
      <c r="J26" s="3" t="s">
        <v>935</v>
      </c>
    </row>
    <row r="27" spans="1:10" x14ac:dyDescent="0.3">
      <c r="A27" s="2" t="s">
        <v>121</v>
      </c>
      <c r="B27" s="5">
        <v>72</v>
      </c>
      <c r="C27" s="6">
        <v>9.0909090909090898E-2</v>
      </c>
      <c r="D27" s="6">
        <v>0</v>
      </c>
      <c r="E27" s="6">
        <v>0</v>
      </c>
      <c r="F27" s="6">
        <v>0.10606060606060599</v>
      </c>
      <c r="G27" s="6">
        <v>0</v>
      </c>
      <c r="H27" s="3" t="s">
        <v>933</v>
      </c>
      <c r="I27" s="3" t="s">
        <v>910</v>
      </c>
      <c r="J27" s="3" t="s">
        <v>935</v>
      </c>
    </row>
    <row r="28" spans="1:10" x14ac:dyDescent="0.3">
      <c r="A28" s="2" t="s">
        <v>124</v>
      </c>
      <c r="B28" s="5">
        <v>71</v>
      </c>
      <c r="C28" s="6">
        <v>8.0645161290322606E-2</v>
      </c>
      <c r="D28" s="6">
        <v>0</v>
      </c>
      <c r="E28" s="6">
        <v>0</v>
      </c>
      <c r="F28" s="6">
        <v>0.14516129032258099</v>
      </c>
      <c r="G28" s="6">
        <v>0.11111111111111099</v>
      </c>
      <c r="H28" s="3" t="s">
        <v>925</v>
      </c>
      <c r="I28" s="3" t="s">
        <v>936</v>
      </c>
      <c r="J28" s="3" t="s">
        <v>937</v>
      </c>
    </row>
    <row r="29" spans="1:10" x14ac:dyDescent="0.3">
      <c r="A29" s="2" t="s">
        <v>128</v>
      </c>
      <c r="B29" s="5">
        <v>70</v>
      </c>
      <c r="C29" s="6">
        <v>8.0645161290322606E-2</v>
      </c>
      <c r="D29" s="6">
        <v>0</v>
      </c>
      <c r="E29" s="6">
        <v>0</v>
      </c>
      <c r="F29" s="6">
        <v>0.14516129032258099</v>
      </c>
      <c r="G29" s="6">
        <v>0.11111111111111099</v>
      </c>
      <c r="H29" s="3" t="s">
        <v>925</v>
      </c>
      <c r="I29" s="3" t="s">
        <v>936</v>
      </c>
      <c r="J29" s="3" t="s">
        <v>937</v>
      </c>
    </row>
    <row r="30" spans="1:10" x14ac:dyDescent="0.3">
      <c r="A30" s="2" t="s">
        <v>132</v>
      </c>
      <c r="B30" s="5">
        <v>69</v>
      </c>
      <c r="C30" s="6">
        <v>0.138461538461538</v>
      </c>
      <c r="D30" s="6">
        <v>0</v>
      </c>
      <c r="E30" s="6">
        <v>1.49253731343284E-2</v>
      </c>
      <c r="F30" s="6">
        <v>0.21538461538461501</v>
      </c>
      <c r="G30" s="6">
        <v>0</v>
      </c>
      <c r="H30" s="3" t="s">
        <v>925</v>
      </c>
      <c r="I30" s="3" t="s">
        <v>938</v>
      </c>
      <c r="J30" s="3" t="s">
        <v>918</v>
      </c>
    </row>
    <row r="31" spans="1:10" x14ac:dyDescent="0.3">
      <c r="A31" s="2" t="s">
        <v>138</v>
      </c>
      <c r="B31" s="5">
        <v>68</v>
      </c>
      <c r="C31" s="6">
        <v>0.138461538461538</v>
      </c>
      <c r="D31" s="6">
        <v>0</v>
      </c>
      <c r="E31" s="6">
        <v>1.49253731343284E-2</v>
      </c>
      <c r="F31" s="6">
        <v>0.21538461538461501</v>
      </c>
      <c r="G31" s="6">
        <v>0</v>
      </c>
      <c r="H31" s="3" t="s">
        <v>925</v>
      </c>
      <c r="I31" s="3" t="s">
        <v>938</v>
      </c>
      <c r="J31" s="3" t="s">
        <v>918</v>
      </c>
    </row>
    <row r="32" spans="1:10" x14ac:dyDescent="0.3">
      <c r="A32" s="2" t="s">
        <v>143</v>
      </c>
      <c r="B32" s="5">
        <v>67</v>
      </c>
      <c r="C32" s="6">
        <v>1.7543859649122799E-2</v>
      </c>
      <c r="D32" s="6">
        <v>0</v>
      </c>
      <c r="E32" s="6">
        <v>0</v>
      </c>
      <c r="F32" s="6">
        <v>5.2631578947368397E-2</v>
      </c>
      <c r="G32" s="6">
        <v>0</v>
      </c>
      <c r="H32" s="3" t="s">
        <v>909</v>
      </c>
      <c r="I32" s="3" t="s">
        <v>376</v>
      </c>
      <c r="J32" s="3" t="s">
        <v>911</v>
      </c>
    </row>
    <row r="33" spans="1:10" x14ac:dyDescent="0.3">
      <c r="A33" s="2" t="s">
        <v>145</v>
      </c>
      <c r="B33" s="5">
        <v>66</v>
      </c>
      <c r="C33" s="6">
        <v>1.7543859649122799E-2</v>
      </c>
      <c r="D33" s="6">
        <v>0</v>
      </c>
      <c r="E33" s="6">
        <v>0</v>
      </c>
      <c r="F33" s="6">
        <v>5.2631578947368397E-2</v>
      </c>
      <c r="G33" s="6">
        <v>0</v>
      </c>
      <c r="H33" s="3" t="s">
        <v>909</v>
      </c>
      <c r="I33" s="3" t="s">
        <v>376</v>
      </c>
      <c r="J33" s="3" t="s">
        <v>911</v>
      </c>
    </row>
    <row r="34" spans="1:10" x14ac:dyDescent="0.3">
      <c r="A34" s="2" t="s">
        <v>150</v>
      </c>
      <c r="B34" s="5">
        <v>65</v>
      </c>
      <c r="C34" s="6">
        <v>8.9552238805970102E-2</v>
      </c>
      <c r="D34" s="6">
        <v>0</v>
      </c>
      <c r="E34" s="6">
        <v>1.4705882352941201E-2</v>
      </c>
      <c r="F34" s="6">
        <v>0.119402985074627</v>
      </c>
      <c r="G34" s="6">
        <v>0.125</v>
      </c>
      <c r="H34" s="3" t="s">
        <v>939</v>
      </c>
      <c r="I34" s="3" t="s">
        <v>12</v>
      </c>
      <c r="J34" s="3" t="s">
        <v>940</v>
      </c>
    </row>
    <row r="35" spans="1:10" x14ac:dyDescent="0.3">
      <c r="A35" s="2" t="s">
        <v>153</v>
      </c>
      <c r="B35" s="5">
        <v>64</v>
      </c>
      <c r="C35" s="6">
        <v>8.9552238805970102E-2</v>
      </c>
      <c r="D35" s="6">
        <v>0</v>
      </c>
      <c r="E35" s="6">
        <v>1.4705882352941201E-2</v>
      </c>
      <c r="F35" s="6">
        <v>0.119402985074627</v>
      </c>
      <c r="G35" s="6">
        <v>0.125</v>
      </c>
      <c r="H35" s="3" t="s">
        <v>939</v>
      </c>
      <c r="I35" s="3" t="s">
        <v>12</v>
      </c>
      <c r="J35" s="3" t="s">
        <v>940</v>
      </c>
    </row>
    <row r="36" spans="1:10" x14ac:dyDescent="0.3">
      <c r="A36" s="2" t="s">
        <v>157</v>
      </c>
      <c r="B36" s="5">
        <v>63</v>
      </c>
      <c r="C36" s="6">
        <v>0.140625</v>
      </c>
      <c r="D36" s="6">
        <v>0</v>
      </c>
      <c r="E36" s="6">
        <v>0</v>
      </c>
      <c r="F36" s="6">
        <v>0.171875</v>
      </c>
      <c r="G36" s="6">
        <v>0</v>
      </c>
      <c r="H36" s="3" t="s">
        <v>941</v>
      </c>
      <c r="I36" s="3" t="s">
        <v>12</v>
      </c>
      <c r="J36" s="3" t="s">
        <v>920</v>
      </c>
    </row>
    <row r="37" spans="1:10" x14ac:dyDescent="0.3">
      <c r="A37" s="2" t="s">
        <v>161</v>
      </c>
      <c r="B37" s="5">
        <v>62</v>
      </c>
      <c r="C37" s="6">
        <v>0.140625</v>
      </c>
      <c r="D37" s="6">
        <v>0</v>
      </c>
      <c r="E37" s="6">
        <v>0</v>
      </c>
      <c r="F37" s="6">
        <v>0.171875</v>
      </c>
      <c r="G37" s="6">
        <v>0</v>
      </c>
      <c r="H37" s="3" t="s">
        <v>941</v>
      </c>
      <c r="I37" s="3" t="s">
        <v>12</v>
      </c>
      <c r="J37" s="3" t="s">
        <v>920</v>
      </c>
    </row>
    <row r="38" spans="1:10" x14ac:dyDescent="0.3">
      <c r="A38" s="2" t="s">
        <v>167</v>
      </c>
      <c r="B38" s="5">
        <v>61</v>
      </c>
      <c r="C38" s="6">
        <v>0.10344827586206901</v>
      </c>
      <c r="D38" s="6">
        <v>0</v>
      </c>
      <c r="E38" s="6">
        <v>0</v>
      </c>
      <c r="F38" s="6">
        <v>0.24137931034482701</v>
      </c>
      <c r="G38" s="6">
        <v>0</v>
      </c>
      <c r="H38" s="3" t="s">
        <v>942</v>
      </c>
      <c r="I38" s="3" t="s">
        <v>943</v>
      </c>
      <c r="J38" s="3" t="s">
        <v>935</v>
      </c>
    </row>
    <row r="39" spans="1:10" x14ac:dyDescent="0.3">
      <c r="A39" s="2" t="s">
        <v>171</v>
      </c>
      <c r="B39" s="5">
        <v>60</v>
      </c>
      <c r="C39" s="6">
        <v>0.10344827586206901</v>
      </c>
      <c r="D39" s="6">
        <v>0</v>
      </c>
      <c r="E39" s="6">
        <v>0</v>
      </c>
      <c r="F39" s="6">
        <v>0.24137931034482701</v>
      </c>
      <c r="G39" s="6">
        <v>0</v>
      </c>
      <c r="H39" s="3" t="s">
        <v>942</v>
      </c>
      <c r="I39" s="3" t="s">
        <v>943</v>
      </c>
      <c r="J39" s="3" t="s">
        <v>935</v>
      </c>
    </row>
    <row r="40" spans="1:10" x14ac:dyDescent="0.3">
      <c r="A40" s="2" t="s">
        <v>173</v>
      </c>
      <c r="B40" s="5">
        <v>59</v>
      </c>
      <c r="C40" s="6">
        <v>7.3529411764705899E-2</v>
      </c>
      <c r="D40" s="6">
        <v>0</v>
      </c>
      <c r="E40" s="6">
        <v>0</v>
      </c>
      <c r="F40" s="6">
        <v>0.11764705882352899</v>
      </c>
      <c r="G40" s="6">
        <v>0</v>
      </c>
      <c r="H40" s="3" t="s">
        <v>944</v>
      </c>
      <c r="I40" s="3" t="s">
        <v>913</v>
      </c>
      <c r="J40" s="3" t="s">
        <v>945</v>
      </c>
    </row>
    <row r="41" spans="1:10" x14ac:dyDescent="0.3">
      <c r="A41" s="2" t="s">
        <v>177</v>
      </c>
      <c r="B41" s="5">
        <v>58</v>
      </c>
      <c r="C41" s="6">
        <v>7.3529411764705899E-2</v>
      </c>
      <c r="D41" s="6">
        <v>0</v>
      </c>
      <c r="E41" s="6">
        <v>0</v>
      </c>
      <c r="F41" s="6">
        <v>0.11764705882352899</v>
      </c>
      <c r="G41" s="6">
        <v>0</v>
      </c>
      <c r="H41" s="3" t="s">
        <v>944</v>
      </c>
      <c r="I41" s="3" t="s">
        <v>913</v>
      </c>
      <c r="J41" s="3" t="s">
        <v>945</v>
      </c>
    </row>
    <row r="42" spans="1:10" x14ac:dyDescent="0.3">
      <c r="A42" s="2" t="s">
        <v>181</v>
      </c>
      <c r="B42" s="5">
        <v>57</v>
      </c>
      <c r="C42" s="6">
        <v>4.91803278688525E-2</v>
      </c>
      <c r="D42" s="6">
        <v>0</v>
      </c>
      <c r="E42" s="6">
        <v>0</v>
      </c>
      <c r="F42" s="6">
        <v>9.8360655737704902E-2</v>
      </c>
      <c r="G42" s="6">
        <v>0</v>
      </c>
      <c r="H42" s="3" t="s">
        <v>946</v>
      </c>
      <c r="I42" s="3" t="s">
        <v>12</v>
      </c>
      <c r="J42" s="3" t="s">
        <v>926</v>
      </c>
    </row>
    <row r="43" spans="1:10" x14ac:dyDescent="0.3">
      <c r="A43" s="2" t="s">
        <v>185</v>
      </c>
      <c r="B43" s="5">
        <v>56</v>
      </c>
      <c r="C43" s="6">
        <v>4.91803278688525E-2</v>
      </c>
      <c r="D43" s="6">
        <v>0</v>
      </c>
      <c r="E43" s="6">
        <v>0</v>
      </c>
      <c r="F43" s="6">
        <v>9.8360655737704902E-2</v>
      </c>
      <c r="G43" s="6">
        <v>0</v>
      </c>
      <c r="H43" s="3" t="s">
        <v>946</v>
      </c>
      <c r="I43" s="3" t="s">
        <v>12</v>
      </c>
      <c r="J43" s="3" t="s">
        <v>926</v>
      </c>
    </row>
    <row r="44" spans="1:10" x14ac:dyDescent="0.3">
      <c r="A44" s="2" t="s">
        <v>190</v>
      </c>
      <c r="B44" s="5">
        <v>55</v>
      </c>
      <c r="C44" s="6">
        <v>1.5625E-2</v>
      </c>
      <c r="D44" s="6">
        <v>0</v>
      </c>
      <c r="E44" s="6">
        <v>0</v>
      </c>
      <c r="F44" s="6">
        <v>1.5625E-2</v>
      </c>
      <c r="G44" s="6">
        <v>0</v>
      </c>
      <c r="H44" s="3" t="s">
        <v>947</v>
      </c>
      <c r="I44" s="3" t="s">
        <v>920</v>
      </c>
      <c r="J44" s="3" t="s">
        <v>945</v>
      </c>
    </row>
    <row r="45" spans="1:10" x14ac:dyDescent="0.3">
      <c r="A45" s="2" t="s">
        <v>193</v>
      </c>
      <c r="B45" s="5">
        <v>54</v>
      </c>
      <c r="C45" s="6">
        <v>1.5625E-2</v>
      </c>
      <c r="D45" s="6">
        <v>0</v>
      </c>
      <c r="E45" s="6">
        <v>0</v>
      </c>
      <c r="F45" s="6">
        <v>1.5625E-2</v>
      </c>
      <c r="G45" s="6">
        <v>0</v>
      </c>
      <c r="H45" s="3" t="s">
        <v>947</v>
      </c>
      <c r="I45" s="3" t="s">
        <v>920</v>
      </c>
      <c r="J45" s="3" t="s">
        <v>945</v>
      </c>
    </row>
    <row r="46" spans="1:10" x14ac:dyDescent="0.3">
      <c r="A46" s="2" t="s">
        <v>197</v>
      </c>
      <c r="B46" s="5">
        <v>53</v>
      </c>
      <c r="C46" s="6">
        <v>3.5714285714285698E-2</v>
      </c>
      <c r="D46" s="6">
        <v>0</v>
      </c>
      <c r="E46" s="6">
        <v>0</v>
      </c>
      <c r="F46" s="6">
        <v>5.3571428571428603E-2</v>
      </c>
      <c r="G46" s="6">
        <v>0</v>
      </c>
      <c r="H46" s="3" t="s">
        <v>948</v>
      </c>
      <c r="I46" s="3" t="s">
        <v>949</v>
      </c>
      <c r="J46" s="3" t="s">
        <v>950</v>
      </c>
    </row>
    <row r="47" spans="1:10" x14ac:dyDescent="0.3">
      <c r="A47" s="2" t="s">
        <v>201</v>
      </c>
      <c r="B47" s="5">
        <v>52</v>
      </c>
      <c r="C47" s="6">
        <v>3.5714285714285698E-2</v>
      </c>
      <c r="D47" s="6">
        <v>0</v>
      </c>
      <c r="E47" s="6">
        <v>0</v>
      </c>
      <c r="F47" s="6">
        <v>5.3571428571428603E-2</v>
      </c>
      <c r="G47" s="6">
        <v>0</v>
      </c>
      <c r="H47" s="3" t="s">
        <v>948</v>
      </c>
      <c r="I47" s="3" t="s">
        <v>949</v>
      </c>
      <c r="J47" s="3" t="s">
        <v>950</v>
      </c>
    </row>
    <row r="48" spans="1:10" x14ac:dyDescent="0.3">
      <c r="A48" s="2" t="s">
        <v>206</v>
      </c>
      <c r="B48" s="5">
        <v>51</v>
      </c>
      <c r="C48" s="6">
        <v>3.4482758620689703E-2</v>
      </c>
      <c r="D48" s="6">
        <v>0</v>
      </c>
      <c r="E48" s="6">
        <v>0</v>
      </c>
      <c r="F48" s="6">
        <v>0.10344827586206901</v>
      </c>
      <c r="G48" s="6">
        <v>0.16666666666666699</v>
      </c>
      <c r="H48" s="3" t="s">
        <v>951</v>
      </c>
      <c r="I48" s="3" t="s">
        <v>940</v>
      </c>
      <c r="J48" s="3" t="s">
        <v>921</v>
      </c>
    </row>
    <row r="49" spans="1:10" x14ac:dyDescent="0.3">
      <c r="A49" s="2" t="s">
        <v>208</v>
      </c>
      <c r="B49" s="5">
        <v>50</v>
      </c>
      <c r="C49" s="6">
        <v>3.4482758620689703E-2</v>
      </c>
      <c r="D49" s="6">
        <v>0</v>
      </c>
      <c r="E49" s="6">
        <v>0</v>
      </c>
      <c r="F49" s="6">
        <v>0.10344827586206901</v>
      </c>
      <c r="G49" s="6">
        <v>0.16666666666666699</v>
      </c>
      <c r="H49" s="3" t="s">
        <v>951</v>
      </c>
      <c r="I49" s="3" t="s">
        <v>940</v>
      </c>
      <c r="J49" s="3" t="s">
        <v>921</v>
      </c>
    </row>
    <row r="50" spans="1:10" x14ac:dyDescent="0.3">
      <c r="A50" s="2" t="s">
        <v>210</v>
      </c>
      <c r="B50" s="5">
        <v>49</v>
      </c>
      <c r="C50" s="6">
        <v>4.3478260869565202E-2</v>
      </c>
      <c r="D50" s="6">
        <v>0</v>
      </c>
      <c r="E50" s="6">
        <v>5.4794520547945202E-2</v>
      </c>
      <c r="F50" s="6">
        <v>7.2463768115942004E-2</v>
      </c>
      <c r="G50" s="6">
        <v>0.2</v>
      </c>
      <c r="H50" s="3" t="s">
        <v>952</v>
      </c>
      <c r="I50" s="3" t="s">
        <v>953</v>
      </c>
      <c r="J50" s="3" t="s">
        <v>954</v>
      </c>
    </row>
    <row r="51" spans="1:10" x14ac:dyDescent="0.3">
      <c r="A51" s="2" t="s">
        <v>213</v>
      </c>
      <c r="B51" s="5">
        <v>48</v>
      </c>
      <c r="C51" s="6">
        <v>4.3478260869565202E-2</v>
      </c>
      <c r="D51" s="6">
        <v>0</v>
      </c>
      <c r="E51" s="6">
        <v>5.4794520547945202E-2</v>
      </c>
      <c r="F51" s="6">
        <v>7.2463768115942004E-2</v>
      </c>
      <c r="G51" s="6">
        <v>0.2</v>
      </c>
      <c r="H51" s="3" t="s">
        <v>952</v>
      </c>
      <c r="I51" s="3" t="s">
        <v>953</v>
      </c>
      <c r="J51" s="3" t="s">
        <v>954</v>
      </c>
    </row>
    <row r="52" spans="1:10" x14ac:dyDescent="0.3">
      <c r="A52" s="2" t="s">
        <v>217</v>
      </c>
      <c r="B52" s="5">
        <v>47</v>
      </c>
      <c r="C52" s="6">
        <v>0</v>
      </c>
      <c r="D52" s="6">
        <v>0</v>
      </c>
      <c r="E52" s="6">
        <v>0</v>
      </c>
      <c r="F52" s="6">
        <v>0</v>
      </c>
      <c r="G52" s="6">
        <v>0</v>
      </c>
      <c r="H52" s="3" t="s">
        <v>955</v>
      </c>
      <c r="I52" s="3"/>
      <c r="J52" s="3" t="s">
        <v>956</v>
      </c>
    </row>
    <row r="53" spans="1:10" x14ac:dyDescent="0.3">
      <c r="A53" s="2" t="s">
        <v>222</v>
      </c>
      <c r="B53" s="5">
        <v>46</v>
      </c>
      <c r="C53" s="6">
        <v>0</v>
      </c>
      <c r="D53" s="6">
        <v>0</v>
      </c>
      <c r="E53" s="6">
        <v>0</v>
      </c>
      <c r="F53" s="6">
        <v>0</v>
      </c>
      <c r="G53" s="6">
        <v>0</v>
      </c>
      <c r="H53" s="3" t="s">
        <v>955</v>
      </c>
      <c r="I53" s="3"/>
      <c r="J53" s="3" t="s">
        <v>956</v>
      </c>
    </row>
    <row r="54" spans="1:10" x14ac:dyDescent="0.3">
      <c r="A54" s="2" t="s">
        <v>224</v>
      </c>
      <c r="B54" s="5">
        <v>45</v>
      </c>
      <c r="C54" s="6">
        <v>0.11111111111111099</v>
      </c>
      <c r="D54" s="6">
        <v>0</v>
      </c>
      <c r="E54" s="6">
        <v>0</v>
      </c>
      <c r="F54" s="6">
        <v>0.22222222222222199</v>
      </c>
      <c r="G54" s="6">
        <v>0</v>
      </c>
      <c r="H54" s="3" t="s">
        <v>922</v>
      </c>
      <c r="I54" s="3" t="s">
        <v>934</v>
      </c>
      <c r="J54" s="3" t="s">
        <v>926</v>
      </c>
    </row>
    <row r="55" spans="1:10" x14ac:dyDescent="0.3">
      <c r="A55" s="2" t="s">
        <v>227</v>
      </c>
      <c r="B55" s="5">
        <v>44</v>
      </c>
      <c r="C55" s="6">
        <v>0.11111111111111099</v>
      </c>
      <c r="D55" s="6">
        <v>0</v>
      </c>
      <c r="E55" s="6">
        <v>0</v>
      </c>
      <c r="F55" s="6">
        <v>0.22222222222222199</v>
      </c>
      <c r="G55" s="6">
        <v>0</v>
      </c>
      <c r="H55" s="3" t="s">
        <v>922</v>
      </c>
      <c r="I55" s="3" t="s">
        <v>934</v>
      </c>
      <c r="J55" s="3" t="s">
        <v>926</v>
      </c>
    </row>
    <row r="56" spans="1:10" x14ac:dyDescent="0.3">
      <c r="A56" s="2" t="s">
        <v>231</v>
      </c>
      <c r="B56" s="5">
        <v>43</v>
      </c>
      <c r="C56" s="6">
        <v>0.14492753623188401</v>
      </c>
      <c r="D56" s="6">
        <v>0</v>
      </c>
      <c r="E56" s="6">
        <v>0</v>
      </c>
      <c r="F56" s="6">
        <v>0.202898550724638</v>
      </c>
      <c r="G56" s="6">
        <v>7.1428571428571397E-2</v>
      </c>
      <c r="H56" s="3" t="s">
        <v>948</v>
      </c>
      <c r="I56" s="3" t="s">
        <v>957</v>
      </c>
      <c r="J56" s="3" t="s">
        <v>958</v>
      </c>
    </row>
    <row r="57" spans="1:10" x14ac:dyDescent="0.3">
      <c r="A57" s="2" t="s">
        <v>235</v>
      </c>
      <c r="B57" s="5">
        <v>42</v>
      </c>
      <c r="C57" s="6">
        <v>0.14492753623188401</v>
      </c>
      <c r="D57" s="6">
        <v>0</v>
      </c>
      <c r="E57" s="6">
        <v>0</v>
      </c>
      <c r="F57" s="6">
        <v>0.202898550724638</v>
      </c>
      <c r="G57" s="6">
        <v>7.1428571428571397E-2</v>
      </c>
      <c r="H57" s="3" t="s">
        <v>948</v>
      </c>
      <c r="I57" s="3" t="s">
        <v>957</v>
      </c>
      <c r="J57" s="3" t="s">
        <v>958</v>
      </c>
    </row>
    <row r="58" spans="1:10" x14ac:dyDescent="0.3">
      <c r="A58" s="2" t="s">
        <v>237</v>
      </c>
      <c r="B58" s="5">
        <v>41</v>
      </c>
      <c r="C58" s="6">
        <v>6.7796610169491497E-2</v>
      </c>
      <c r="D58" s="6">
        <v>0</v>
      </c>
      <c r="E58" s="6">
        <v>0</v>
      </c>
      <c r="F58" s="6">
        <v>0.11864406779661001</v>
      </c>
      <c r="G58" s="6">
        <v>0</v>
      </c>
      <c r="H58" s="3" t="s">
        <v>959</v>
      </c>
      <c r="I58" s="3" t="s">
        <v>960</v>
      </c>
      <c r="J58" s="3" t="s">
        <v>924</v>
      </c>
    </row>
    <row r="59" spans="1:10" x14ac:dyDescent="0.3">
      <c r="A59" s="2" t="s">
        <v>239</v>
      </c>
      <c r="B59" s="5">
        <v>40</v>
      </c>
      <c r="C59" s="6">
        <v>6.7796610169491497E-2</v>
      </c>
      <c r="D59" s="6">
        <v>0</v>
      </c>
      <c r="E59" s="6">
        <v>0</v>
      </c>
      <c r="F59" s="6">
        <v>0.11864406779661001</v>
      </c>
      <c r="G59" s="6">
        <v>0</v>
      </c>
      <c r="H59" s="3" t="s">
        <v>959</v>
      </c>
      <c r="I59" s="3" t="s">
        <v>960</v>
      </c>
      <c r="J59" s="3" t="s">
        <v>924</v>
      </c>
    </row>
    <row r="60" spans="1:10" x14ac:dyDescent="0.3">
      <c r="A60" s="2" t="s">
        <v>242</v>
      </c>
      <c r="B60" s="5">
        <v>39</v>
      </c>
      <c r="C60" s="6">
        <v>2.6315789473684199E-2</v>
      </c>
      <c r="D60" s="6">
        <v>0</v>
      </c>
      <c r="E60" s="6">
        <v>4.9382716049382699E-2</v>
      </c>
      <c r="F60" s="6">
        <v>7.8947368421052599E-2</v>
      </c>
      <c r="G60" s="6">
        <v>0.16666666666666699</v>
      </c>
      <c r="H60" s="3" t="s">
        <v>961</v>
      </c>
      <c r="I60" s="3" t="s">
        <v>962</v>
      </c>
      <c r="J60" s="3" t="s">
        <v>954</v>
      </c>
    </row>
    <row r="61" spans="1:10" x14ac:dyDescent="0.3">
      <c r="A61" s="2" t="s">
        <v>247</v>
      </c>
      <c r="B61" s="5">
        <v>38</v>
      </c>
      <c r="C61" s="6">
        <v>2.6315789473684199E-2</v>
      </c>
      <c r="D61" s="6">
        <v>0</v>
      </c>
      <c r="E61" s="6">
        <v>4.9382716049382699E-2</v>
      </c>
      <c r="F61" s="6">
        <v>7.8947368421052599E-2</v>
      </c>
      <c r="G61" s="6">
        <v>0.16666666666666699</v>
      </c>
      <c r="H61" s="3" t="s">
        <v>961</v>
      </c>
      <c r="I61" s="3" t="s">
        <v>962</v>
      </c>
      <c r="J61" s="3" t="s">
        <v>954</v>
      </c>
    </row>
    <row r="62" spans="1:10" x14ac:dyDescent="0.3">
      <c r="A62" s="2" t="s">
        <v>252</v>
      </c>
      <c r="B62" s="5">
        <v>37</v>
      </c>
      <c r="C62" s="6">
        <v>3.7974683544303799E-2</v>
      </c>
      <c r="D62" s="6">
        <v>0</v>
      </c>
      <c r="E62" s="6">
        <v>0</v>
      </c>
      <c r="F62" s="6">
        <v>7.5949367088607597E-2</v>
      </c>
      <c r="G62" s="6">
        <v>0.16666666666666699</v>
      </c>
      <c r="H62" s="3" t="s">
        <v>963</v>
      </c>
      <c r="I62" s="3" t="s">
        <v>957</v>
      </c>
      <c r="J62" s="3" t="s">
        <v>934</v>
      </c>
    </row>
    <row r="63" spans="1:10" x14ac:dyDescent="0.3">
      <c r="A63" s="2" t="s">
        <v>255</v>
      </c>
      <c r="B63" s="5">
        <v>36</v>
      </c>
      <c r="C63" s="6">
        <v>3.7974683544303799E-2</v>
      </c>
      <c r="D63" s="6">
        <v>0</v>
      </c>
      <c r="E63" s="6">
        <v>0</v>
      </c>
      <c r="F63" s="6">
        <v>7.5949367088607597E-2</v>
      </c>
      <c r="G63" s="6">
        <v>0.16666666666666699</v>
      </c>
      <c r="H63" s="3" t="s">
        <v>963</v>
      </c>
      <c r="I63" s="3" t="s">
        <v>957</v>
      </c>
      <c r="J63" s="3" t="s">
        <v>934</v>
      </c>
    </row>
    <row r="64" spans="1:10" x14ac:dyDescent="0.3">
      <c r="A64" s="2" t="s">
        <v>258</v>
      </c>
      <c r="B64" s="5">
        <v>35</v>
      </c>
      <c r="C64" s="6">
        <v>8.7719298245614002E-2</v>
      </c>
      <c r="D64" s="6">
        <v>0</v>
      </c>
      <c r="E64" s="6">
        <v>0</v>
      </c>
      <c r="F64" s="6">
        <v>0.105263157894737</v>
      </c>
      <c r="G64" s="6">
        <v>0</v>
      </c>
      <c r="H64" s="3" t="s">
        <v>964</v>
      </c>
      <c r="I64" s="3" t="s">
        <v>957</v>
      </c>
      <c r="J64" s="3" t="s">
        <v>965</v>
      </c>
    </row>
    <row r="65" spans="1:10" x14ac:dyDescent="0.3">
      <c r="A65" s="2" t="s">
        <v>262</v>
      </c>
      <c r="B65" s="5">
        <v>34</v>
      </c>
      <c r="C65" s="6">
        <v>8.7719298245614002E-2</v>
      </c>
      <c r="D65" s="6">
        <v>0</v>
      </c>
      <c r="E65" s="6">
        <v>0</v>
      </c>
      <c r="F65" s="6">
        <v>0.105263157894737</v>
      </c>
      <c r="G65" s="6">
        <v>0</v>
      </c>
      <c r="H65" s="3" t="s">
        <v>964</v>
      </c>
      <c r="I65" s="3" t="s">
        <v>957</v>
      </c>
      <c r="J65" s="3" t="s">
        <v>965</v>
      </c>
    </row>
    <row r="66" spans="1:10" x14ac:dyDescent="0.3">
      <c r="A66" s="2" t="s">
        <v>268</v>
      </c>
      <c r="B66" s="5">
        <v>33</v>
      </c>
      <c r="C66" s="6">
        <v>0.107692307692308</v>
      </c>
      <c r="D66" s="6">
        <v>0</v>
      </c>
      <c r="E66" s="6">
        <v>0</v>
      </c>
      <c r="F66" s="6">
        <v>0.16923076923076899</v>
      </c>
      <c r="G66" s="6">
        <v>0</v>
      </c>
      <c r="H66" s="3" t="s">
        <v>966</v>
      </c>
      <c r="I66" s="3" t="s">
        <v>920</v>
      </c>
      <c r="J66" s="3" t="s">
        <v>921</v>
      </c>
    </row>
    <row r="67" spans="1:10" x14ac:dyDescent="0.3">
      <c r="A67" s="2" t="s">
        <v>272</v>
      </c>
      <c r="B67" s="5">
        <v>32</v>
      </c>
      <c r="C67" s="6">
        <v>0.107692307692308</v>
      </c>
      <c r="D67" s="6">
        <v>0</v>
      </c>
      <c r="E67" s="6">
        <v>0</v>
      </c>
      <c r="F67" s="6">
        <v>0.16923076923076899</v>
      </c>
      <c r="G67" s="6">
        <v>0</v>
      </c>
      <c r="H67" s="3" t="s">
        <v>966</v>
      </c>
      <c r="I67" s="3" t="s">
        <v>920</v>
      </c>
      <c r="J67" s="3" t="s">
        <v>921</v>
      </c>
    </row>
    <row r="68" spans="1:10" x14ac:dyDescent="0.3">
      <c r="A68" s="2" t="s">
        <v>275</v>
      </c>
      <c r="B68" s="5">
        <v>31</v>
      </c>
      <c r="C68" s="6">
        <v>7.3529411764705899E-2</v>
      </c>
      <c r="D68" s="6">
        <v>0</v>
      </c>
      <c r="E68" s="6">
        <v>0</v>
      </c>
      <c r="F68" s="6">
        <v>0.13235294117647001</v>
      </c>
      <c r="G68" s="6">
        <v>0</v>
      </c>
      <c r="H68" s="3" t="s">
        <v>967</v>
      </c>
      <c r="I68" s="3" t="s">
        <v>12</v>
      </c>
      <c r="J68" s="3" t="s">
        <v>911</v>
      </c>
    </row>
    <row r="69" spans="1:10" x14ac:dyDescent="0.3">
      <c r="A69" s="2" t="s">
        <v>279</v>
      </c>
      <c r="B69" s="5">
        <v>30</v>
      </c>
      <c r="C69" s="6">
        <v>7.3529411764705899E-2</v>
      </c>
      <c r="D69" s="6">
        <v>0</v>
      </c>
      <c r="E69" s="6">
        <v>0</v>
      </c>
      <c r="F69" s="6">
        <v>0.13235294117647001</v>
      </c>
      <c r="G69" s="6">
        <v>0</v>
      </c>
      <c r="H69" s="3" t="s">
        <v>967</v>
      </c>
      <c r="I69" s="3" t="s">
        <v>12</v>
      </c>
      <c r="J69" s="3" t="s">
        <v>911</v>
      </c>
    </row>
    <row r="70" spans="1:10" x14ac:dyDescent="0.3">
      <c r="A70" s="2" t="s">
        <v>283</v>
      </c>
      <c r="B70" s="5">
        <v>29</v>
      </c>
      <c r="C70" s="6">
        <v>0.05</v>
      </c>
      <c r="D70" s="6">
        <v>0</v>
      </c>
      <c r="E70" s="6">
        <v>0</v>
      </c>
      <c r="F70" s="6">
        <v>0.1</v>
      </c>
      <c r="G70" s="6">
        <v>0</v>
      </c>
      <c r="H70" s="3" t="s">
        <v>929</v>
      </c>
      <c r="I70" s="3" t="s">
        <v>910</v>
      </c>
      <c r="J70" s="3" t="s">
        <v>913</v>
      </c>
    </row>
    <row r="71" spans="1:10" x14ac:dyDescent="0.3">
      <c r="A71" s="2" t="s">
        <v>284</v>
      </c>
      <c r="B71" s="5">
        <v>28</v>
      </c>
      <c r="C71" s="6">
        <v>0.05</v>
      </c>
      <c r="D71" s="6">
        <v>0</v>
      </c>
      <c r="E71" s="6">
        <v>0</v>
      </c>
      <c r="F71" s="6">
        <v>0.1</v>
      </c>
      <c r="G71" s="6">
        <v>0</v>
      </c>
      <c r="H71" s="3" t="s">
        <v>929</v>
      </c>
      <c r="I71" s="3" t="s">
        <v>910</v>
      </c>
      <c r="J71" s="3" t="s">
        <v>913</v>
      </c>
    </row>
    <row r="72" spans="1:10" x14ac:dyDescent="0.3">
      <c r="A72" s="2" t="s">
        <v>289</v>
      </c>
      <c r="B72" s="5">
        <v>29</v>
      </c>
      <c r="C72" s="6">
        <v>7.1428571428571397E-2</v>
      </c>
      <c r="D72" s="6">
        <v>0</v>
      </c>
      <c r="E72" s="6">
        <v>0</v>
      </c>
      <c r="F72" s="6">
        <v>8.9285714285714302E-2</v>
      </c>
      <c r="G72" s="6">
        <v>0</v>
      </c>
      <c r="H72" s="3" t="s">
        <v>912</v>
      </c>
      <c r="I72" s="3" t="s">
        <v>920</v>
      </c>
      <c r="J72" s="3" t="s">
        <v>913</v>
      </c>
    </row>
    <row r="73" spans="1:10" x14ac:dyDescent="0.3">
      <c r="A73" s="2" t="s">
        <v>291</v>
      </c>
      <c r="B73" s="5">
        <v>30</v>
      </c>
      <c r="C73" s="6">
        <v>7.1428571428571397E-2</v>
      </c>
      <c r="D73" s="6">
        <v>0</v>
      </c>
      <c r="E73" s="6">
        <v>0</v>
      </c>
      <c r="F73" s="6">
        <v>8.9285714285714302E-2</v>
      </c>
      <c r="G73" s="6">
        <v>0</v>
      </c>
      <c r="H73" s="3" t="s">
        <v>912</v>
      </c>
      <c r="I73" s="3" t="s">
        <v>920</v>
      </c>
      <c r="J73" s="3" t="s">
        <v>913</v>
      </c>
    </row>
    <row r="74" spans="1:10" x14ac:dyDescent="0.3">
      <c r="A74" s="2" t="s">
        <v>295</v>
      </c>
      <c r="B74" s="5">
        <v>31</v>
      </c>
      <c r="C74" s="6">
        <v>7.69230769230769E-2</v>
      </c>
      <c r="D74" s="6">
        <v>0</v>
      </c>
      <c r="E74" s="6">
        <v>0</v>
      </c>
      <c r="F74" s="6">
        <v>7.69230769230769E-2</v>
      </c>
      <c r="G74" s="6">
        <v>0</v>
      </c>
      <c r="H74" s="3" t="s">
        <v>968</v>
      </c>
      <c r="I74" s="3" t="s">
        <v>12</v>
      </c>
      <c r="J74" s="3" t="s">
        <v>911</v>
      </c>
    </row>
    <row r="75" spans="1:10" x14ac:dyDescent="0.3">
      <c r="A75" s="2" t="s">
        <v>299</v>
      </c>
      <c r="B75" s="5">
        <v>32</v>
      </c>
      <c r="C75" s="6">
        <v>7.69230769230769E-2</v>
      </c>
      <c r="D75" s="6">
        <v>0</v>
      </c>
      <c r="E75" s="6">
        <v>0</v>
      </c>
      <c r="F75" s="6">
        <v>7.69230769230769E-2</v>
      </c>
      <c r="G75" s="6">
        <v>0</v>
      </c>
      <c r="H75" s="3" t="s">
        <v>968</v>
      </c>
      <c r="I75" s="3" t="s">
        <v>12</v>
      </c>
      <c r="J75" s="3" t="s">
        <v>911</v>
      </c>
    </row>
    <row r="76" spans="1:10" x14ac:dyDescent="0.3">
      <c r="A76" s="2" t="s">
        <v>302</v>
      </c>
      <c r="B76" s="5">
        <v>33</v>
      </c>
      <c r="C76" s="6">
        <v>5.4054054054054099E-2</v>
      </c>
      <c r="D76" s="6">
        <v>0</v>
      </c>
      <c r="E76" s="6">
        <v>0</v>
      </c>
      <c r="F76" s="6">
        <v>8.1081081081081099E-2</v>
      </c>
      <c r="G76" s="6">
        <v>0</v>
      </c>
      <c r="H76" s="3" t="s">
        <v>969</v>
      </c>
      <c r="I76" s="3" t="s">
        <v>960</v>
      </c>
      <c r="J76" s="3" t="s">
        <v>937</v>
      </c>
    </row>
    <row r="77" spans="1:10" x14ac:dyDescent="0.3">
      <c r="A77" s="2" t="s">
        <v>305</v>
      </c>
      <c r="B77" s="5">
        <v>34</v>
      </c>
      <c r="C77" s="6">
        <v>5.4054054054054099E-2</v>
      </c>
      <c r="D77" s="6">
        <v>0</v>
      </c>
      <c r="E77" s="6">
        <v>0</v>
      </c>
      <c r="F77" s="6">
        <v>8.1081081081081099E-2</v>
      </c>
      <c r="G77" s="6">
        <v>0</v>
      </c>
      <c r="H77" s="3" t="s">
        <v>969</v>
      </c>
      <c r="I77" s="3" t="s">
        <v>960</v>
      </c>
      <c r="J77" s="3" t="s">
        <v>937</v>
      </c>
    </row>
    <row r="78" spans="1:10" x14ac:dyDescent="0.3">
      <c r="A78" s="2" t="s">
        <v>309</v>
      </c>
      <c r="B78" s="5">
        <v>35</v>
      </c>
      <c r="C78" s="6">
        <v>5.63380281690141E-2</v>
      </c>
      <c r="D78" s="6">
        <v>0</v>
      </c>
      <c r="E78" s="6">
        <v>0</v>
      </c>
      <c r="F78" s="6">
        <v>9.85915492957746E-2</v>
      </c>
      <c r="G78" s="6">
        <v>0</v>
      </c>
      <c r="H78" s="3" t="s">
        <v>952</v>
      </c>
      <c r="I78" s="3" t="s">
        <v>12</v>
      </c>
      <c r="J78" s="3" t="s">
        <v>921</v>
      </c>
    </row>
    <row r="79" spans="1:10" x14ac:dyDescent="0.3">
      <c r="A79" s="2" t="s">
        <v>315</v>
      </c>
      <c r="B79" s="5">
        <v>36</v>
      </c>
      <c r="C79" s="6">
        <v>5.63380281690141E-2</v>
      </c>
      <c r="D79" s="6">
        <v>0</v>
      </c>
      <c r="E79" s="6">
        <v>0</v>
      </c>
      <c r="F79" s="6">
        <v>9.85915492957746E-2</v>
      </c>
      <c r="G79" s="6">
        <v>0</v>
      </c>
      <c r="H79" s="3" t="s">
        <v>952</v>
      </c>
      <c r="I79" s="3" t="s">
        <v>12</v>
      </c>
      <c r="J79" s="3" t="s">
        <v>921</v>
      </c>
    </row>
    <row r="80" spans="1:10" x14ac:dyDescent="0.3">
      <c r="A80" s="2" t="s">
        <v>320</v>
      </c>
      <c r="B80" s="5">
        <v>37</v>
      </c>
      <c r="C80" s="6">
        <v>0.13636363636363599</v>
      </c>
      <c r="D80" s="6">
        <v>0</v>
      </c>
      <c r="E80" s="6">
        <v>0</v>
      </c>
      <c r="F80" s="6">
        <v>0.18181818181818199</v>
      </c>
      <c r="G80" s="6">
        <v>8.3333333333333301E-2</v>
      </c>
      <c r="H80" s="3" t="s">
        <v>970</v>
      </c>
      <c r="I80" s="3" t="s">
        <v>920</v>
      </c>
      <c r="J80" s="3" t="s">
        <v>971</v>
      </c>
    </row>
    <row r="81" spans="1:10" x14ac:dyDescent="0.3">
      <c r="A81" s="2" t="s">
        <v>323</v>
      </c>
      <c r="B81" s="5">
        <v>38</v>
      </c>
      <c r="C81" s="6">
        <v>0.13636363636363599</v>
      </c>
      <c r="D81" s="6">
        <v>0</v>
      </c>
      <c r="E81" s="6">
        <v>0</v>
      </c>
      <c r="F81" s="6">
        <v>0.18181818181818199</v>
      </c>
      <c r="G81" s="6">
        <v>8.3333333333333301E-2</v>
      </c>
      <c r="H81" s="3" t="s">
        <v>970</v>
      </c>
      <c r="I81" s="3" t="s">
        <v>920</v>
      </c>
      <c r="J81" s="3" t="s">
        <v>971</v>
      </c>
    </row>
    <row r="82" spans="1:10" x14ac:dyDescent="0.3">
      <c r="A82" s="2" t="s">
        <v>328</v>
      </c>
      <c r="B82" s="5">
        <v>39</v>
      </c>
      <c r="C82" s="6">
        <v>8.8235294117647106E-2</v>
      </c>
      <c r="D82" s="6">
        <v>0</v>
      </c>
      <c r="E82" s="6">
        <v>0</v>
      </c>
      <c r="F82" s="6">
        <v>8.8235294117647106E-2</v>
      </c>
      <c r="G82" s="6">
        <v>0</v>
      </c>
      <c r="H82" s="3" t="s">
        <v>972</v>
      </c>
      <c r="I82" s="3" t="s">
        <v>12</v>
      </c>
      <c r="J82" s="3" t="s">
        <v>913</v>
      </c>
    </row>
    <row r="83" spans="1:10" x14ac:dyDescent="0.3">
      <c r="A83" s="2" t="s">
        <v>333</v>
      </c>
      <c r="B83" s="5">
        <v>40</v>
      </c>
      <c r="C83" s="6">
        <v>8.8235294117647106E-2</v>
      </c>
      <c r="D83" s="6">
        <v>0</v>
      </c>
      <c r="E83" s="6">
        <v>0</v>
      </c>
      <c r="F83" s="6">
        <v>8.8235294117647106E-2</v>
      </c>
      <c r="G83" s="6">
        <v>0</v>
      </c>
      <c r="H83" s="3" t="s">
        <v>972</v>
      </c>
      <c r="I83" s="3" t="s">
        <v>12</v>
      </c>
      <c r="J83" s="3" t="s">
        <v>913</v>
      </c>
    </row>
    <row r="84" spans="1:10" x14ac:dyDescent="0.3">
      <c r="A84" s="2" t="s">
        <v>337</v>
      </c>
      <c r="B84" s="5">
        <v>41</v>
      </c>
      <c r="C84" s="6">
        <v>3.7037037037037E-2</v>
      </c>
      <c r="D84" s="6">
        <v>0</v>
      </c>
      <c r="E84" s="6">
        <v>0</v>
      </c>
      <c r="F84" s="6">
        <v>0.12962962962963001</v>
      </c>
      <c r="G84" s="6">
        <v>0.28571428571428598</v>
      </c>
      <c r="H84" s="3" t="s">
        <v>21</v>
      </c>
      <c r="I84" s="3" t="s">
        <v>973</v>
      </c>
      <c r="J84" s="3" t="s">
        <v>945</v>
      </c>
    </row>
    <row r="85" spans="1:10" x14ac:dyDescent="0.3">
      <c r="A85" s="2" t="s">
        <v>339</v>
      </c>
      <c r="B85" s="5">
        <v>42</v>
      </c>
      <c r="C85" s="6">
        <v>3.7037037037037E-2</v>
      </c>
      <c r="D85" s="6">
        <v>0</v>
      </c>
      <c r="E85" s="6">
        <v>0</v>
      </c>
      <c r="F85" s="6">
        <v>0.12962962962963001</v>
      </c>
      <c r="G85" s="6">
        <v>0.28571428571428598</v>
      </c>
      <c r="H85" s="3" t="s">
        <v>21</v>
      </c>
      <c r="I85" s="3" t="s">
        <v>973</v>
      </c>
      <c r="J85" s="3" t="s">
        <v>945</v>
      </c>
    </row>
    <row r="86" spans="1:10" x14ac:dyDescent="0.3">
      <c r="A86" s="2" t="s">
        <v>342</v>
      </c>
      <c r="B86" s="5">
        <v>43</v>
      </c>
      <c r="C86" s="6">
        <v>4.08163265306122E-2</v>
      </c>
      <c r="D86" s="6">
        <v>0</v>
      </c>
      <c r="E86" s="6">
        <v>0</v>
      </c>
      <c r="F86" s="6">
        <v>6.1224489795918401E-2</v>
      </c>
      <c r="G86" s="6">
        <v>0</v>
      </c>
      <c r="H86" s="3" t="s">
        <v>462</v>
      </c>
      <c r="I86" s="3" t="s">
        <v>910</v>
      </c>
      <c r="J86" s="3" t="s">
        <v>926</v>
      </c>
    </row>
    <row r="87" spans="1:10" x14ac:dyDescent="0.3">
      <c r="A87" s="2" t="s">
        <v>345</v>
      </c>
      <c r="B87" s="5">
        <v>44</v>
      </c>
      <c r="C87" s="6">
        <v>4.08163265306122E-2</v>
      </c>
      <c r="D87" s="6">
        <v>0</v>
      </c>
      <c r="E87" s="6">
        <v>0</v>
      </c>
      <c r="F87" s="6">
        <v>6.1224489795918401E-2</v>
      </c>
      <c r="G87" s="6">
        <v>0</v>
      </c>
      <c r="H87" s="3" t="s">
        <v>462</v>
      </c>
      <c r="I87" s="3" t="s">
        <v>910</v>
      </c>
      <c r="J87" s="3" t="s">
        <v>926</v>
      </c>
    </row>
    <row r="88" spans="1:10" x14ac:dyDescent="0.3">
      <c r="A88" s="2" t="s">
        <v>350</v>
      </c>
      <c r="B88" s="5">
        <v>45</v>
      </c>
      <c r="C88" s="6">
        <v>7.5471698113207503E-2</v>
      </c>
      <c r="D88" s="6">
        <v>0</v>
      </c>
      <c r="E88" s="6">
        <v>0</v>
      </c>
      <c r="F88" s="6">
        <v>0.113207547169811</v>
      </c>
      <c r="G88" s="6">
        <v>0</v>
      </c>
      <c r="H88" s="3" t="s">
        <v>974</v>
      </c>
      <c r="I88" s="3" t="s">
        <v>926</v>
      </c>
      <c r="J88" s="3" t="s">
        <v>934</v>
      </c>
    </row>
    <row r="89" spans="1:10" x14ac:dyDescent="0.3">
      <c r="A89" s="2" t="s">
        <v>354</v>
      </c>
      <c r="B89" s="5">
        <v>46</v>
      </c>
      <c r="C89" s="6">
        <v>7.5471698113207503E-2</v>
      </c>
      <c r="D89" s="6">
        <v>0</v>
      </c>
      <c r="E89" s="6">
        <v>0</v>
      </c>
      <c r="F89" s="6">
        <v>0.113207547169811</v>
      </c>
      <c r="G89" s="6">
        <v>0</v>
      </c>
      <c r="H89" s="3" t="s">
        <v>974</v>
      </c>
      <c r="I89" s="3" t="s">
        <v>926</v>
      </c>
      <c r="J89" s="3" t="s">
        <v>934</v>
      </c>
    </row>
    <row r="90" spans="1:10" x14ac:dyDescent="0.3">
      <c r="A90" s="2" t="s">
        <v>360</v>
      </c>
      <c r="B90" s="5">
        <v>47</v>
      </c>
      <c r="C90" s="6">
        <v>3.0769230769230799E-2</v>
      </c>
      <c r="D90" s="6">
        <v>1.5384615384615399E-2</v>
      </c>
      <c r="E90" s="6">
        <v>0</v>
      </c>
      <c r="F90" s="6">
        <v>7.69230769230769E-2</v>
      </c>
      <c r="G90" s="6">
        <v>0.4</v>
      </c>
      <c r="H90" s="3" t="s">
        <v>967</v>
      </c>
      <c r="I90" s="3" t="s">
        <v>973</v>
      </c>
      <c r="J90" s="3" t="s">
        <v>913</v>
      </c>
    </row>
    <row r="91" spans="1:10" x14ac:dyDescent="0.3">
      <c r="A91" s="2" t="s">
        <v>367</v>
      </c>
      <c r="B91" s="5">
        <v>48</v>
      </c>
      <c r="C91" s="6">
        <v>3.0769230769230799E-2</v>
      </c>
      <c r="D91" s="6">
        <v>1.5384615384615399E-2</v>
      </c>
      <c r="E91" s="6">
        <v>0</v>
      </c>
      <c r="F91" s="6">
        <v>7.69230769230769E-2</v>
      </c>
      <c r="G91" s="6">
        <v>0.4</v>
      </c>
      <c r="H91" s="3" t="s">
        <v>967</v>
      </c>
      <c r="I91" s="3" t="s">
        <v>973</v>
      </c>
      <c r="J91" s="3" t="s">
        <v>913</v>
      </c>
    </row>
    <row r="92" spans="1:10" x14ac:dyDescent="0.3">
      <c r="A92" s="2" t="s">
        <v>371</v>
      </c>
      <c r="B92" s="5">
        <v>49</v>
      </c>
      <c r="C92" s="6">
        <v>6.7796610169491497E-2</v>
      </c>
      <c r="D92" s="6">
        <v>0</v>
      </c>
      <c r="E92" s="6">
        <v>0</v>
      </c>
      <c r="F92" s="6">
        <v>0.101694915254237</v>
      </c>
      <c r="G92" s="6">
        <v>0</v>
      </c>
      <c r="H92" s="3" t="s">
        <v>912</v>
      </c>
      <c r="I92" s="3" t="s">
        <v>958</v>
      </c>
      <c r="J92" s="3" t="s">
        <v>926</v>
      </c>
    </row>
    <row r="93" spans="1:10" x14ac:dyDescent="0.3">
      <c r="A93" s="2" t="s">
        <v>374</v>
      </c>
      <c r="B93" s="5">
        <v>50</v>
      </c>
      <c r="C93" s="6">
        <v>6.7796610169491497E-2</v>
      </c>
      <c r="D93" s="6">
        <v>0</v>
      </c>
      <c r="E93" s="6">
        <v>0</v>
      </c>
      <c r="F93" s="6">
        <v>0.101694915254237</v>
      </c>
      <c r="G93" s="6">
        <v>0</v>
      </c>
      <c r="H93" s="3" t="s">
        <v>912</v>
      </c>
      <c r="I93" s="3" t="s">
        <v>958</v>
      </c>
      <c r="J93" s="3" t="s">
        <v>926</v>
      </c>
    </row>
    <row r="94" spans="1:10" x14ac:dyDescent="0.3">
      <c r="A94" s="2" t="s">
        <v>379</v>
      </c>
      <c r="B94" s="5">
        <v>51</v>
      </c>
      <c r="C94" s="6">
        <v>6.0606060606060601E-2</v>
      </c>
      <c r="D94" s="6">
        <v>0</v>
      </c>
      <c r="E94" s="6">
        <v>0</v>
      </c>
      <c r="F94" s="6">
        <v>0.10606060606060599</v>
      </c>
      <c r="G94" s="6">
        <v>0</v>
      </c>
      <c r="H94" s="3" t="s">
        <v>909</v>
      </c>
      <c r="I94" s="3" t="s">
        <v>975</v>
      </c>
      <c r="J94" s="3" t="s">
        <v>954</v>
      </c>
    </row>
    <row r="95" spans="1:10" x14ac:dyDescent="0.3">
      <c r="A95" s="2" t="s">
        <v>381</v>
      </c>
      <c r="B95" s="5">
        <v>52</v>
      </c>
      <c r="C95" s="6">
        <v>6.0606060606060601E-2</v>
      </c>
      <c r="D95" s="6">
        <v>0</v>
      </c>
      <c r="E95" s="6">
        <v>0</v>
      </c>
      <c r="F95" s="6">
        <v>0.10606060606060599</v>
      </c>
      <c r="G95" s="6">
        <v>0</v>
      </c>
      <c r="H95" s="3" t="s">
        <v>909</v>
      </c>
      <c r="I95" s="3" t="s">
        <v>975</v>
      </c>
      <c r="J95" s="3" t="s">
        <v>954</v>
      </c>
    </row>
    <row r="96" spans="1:10" x14ac:dyDescent="0.3">
      <c r="A96" s="2" t="s">
        <v>386</v>
      </c>
      <c r="B96" s="5">
        <v>53</v>
      </c>
      <c r="C96" s="6">
        <v>5.9701492537313397E-2</v>
      </c>
      <c r="D96" s="6">
        <v>0</v>
      </c>
      <c r="E96" s="6">
        <v>0</v>
      </c>
      <c r="F96" s="6">
        <v>5.9701492537313397E-2</v>
      </c>
      <c r="G96" s="6">
        <v>0</v>
      </c>
      <c r="H96" s="3" t="s">
        <v>976</v>
      </c>
      <c r="I96" s="3" t="s">
        <v>376</v>
      </c>
      <c r="J96" s="3" t="s">
        <v>926</v>
      </c>
    </row>
    <row r="97" spans="1:10" x14ac:dyDescent="0.3">
      <c r="A97" s="2" t="s">
        <v>391</v>
      </c>
      <c r="B97" s="5">
        <v>54</v>
      </c>
      <c r="C97" s="6">
        <v>5.9701492537313397E-2</v>
      </c>
      <c r="D97" s="6">
        <v>0</v>
      </c>
      <c r="E97" s="6">
        <v>0</v>
      </c>
      <c r="F97" s="6">
        <v>5.9701492537313397E-2</v>
      </c>
      <c r="G97" s="6">
        <v>0</v>
      </c>
      <c r="H97" s="3" t="s">
        <v>976</v>
      </c>
      <c r="I97" s="3" t="s">
        <v>376</v>
      </c>
      <c r="J97" s="3" t="s">
        <v>926</v>
      </c>
    </row>
    <row r="98" spans="1:10" x14ac:dyDescent="0.3">
      <c r="A98" s="2" t="s">
        <v>396</v>
      </c>
      <c r="B98" s="5">
        <v>55</v>
      </c>
      <c r="C98" s="6">
        <v>0</v>
      </c>
      <c r="D98" s="6">
        <v>0</v>
      </c>
      <c r="E98" s="6">
        <v>0</v>
      </c>
      <c r="F98" s="6">
        <v>2.8571428571428598E-2</v>
      </c>
      <c r="G98" s="6">
        <v>1</v>
      </c>
      <c r="H98" s="3" t="s">
        <v>977</v>
      </c>
      <c r="I98" s="3" t="s">
        <v>12</v>
      </c>
      <c r="J98" s="3" t="s">
        <v>978</v>
      </c>
    </row>
    <row r="99" spans="1:10" x14ac:dyDescent="0.3">
      <c r="A99" s="2" t="s">
        <v>400</v>
      </c>
      <c r="B99" s="5">
        <v>56</v>
      </c>
      <c r="C99" s="6">
        <v>0</v>
      </c>
      <c r="D99" s="6">
        <v>0</v>
      </c>
      <c r="E99" s="6">
        <v>0</v>
      </c>
      <c r="F99" s="6">
        <v>2.8571428571428598E-2</v>
      </c>
      <c r="G99" s="6">
        <v>1</v>
      </c>
      <c r="H99" s="3" t="s">
        <v>977</v>
      </c>
      <c r="I99" s="3" t="s">
        <v>12</v>
      </c>
      <c r="J99" s="3" t="s">
        <v>978</v>
      </c>
    </row>
    <row r="100" spans="1:10" x14ac:dyDescent="0.3">
      <c r="A100" s="2" t="s">
        <v>405</v>
      </c>
      <c r="B100" s="5">
        <v>57</v>
      </c>
      <c r="C100" s="6">
        <v>4.7619047619047603E-2</v>
      </c>
      <c r="D100" s="6">
        <v>0</v>
      </c>
      <c r="E100" s="6">
        <v>0</v>
      </c>
      <c r="F100" s="6">
        <v>0.119047619047619</v>
      </c>
      <c r="G100" s="6">
        <v>0</v>
      </c>
      <c r="H100" s="3" t="s">
        <v>966</v>
      </c>
      <c r="I100" s="3" t="s">
        <v>979</v>
      </c>
      <c r="J100" s="3" t="s">
        <v>956</v>
      </c>
    </row>
    <row r="101" spans="1:10" x14ac:dyDescent="0.3">
      <c r="A101" s="2" t="s">
        <v>407</v>
      </c>
      <c r="B101" s="5">
        <v>58</v>
      </c>
      <c r="C101" s="6">
        <v>4.7619047619047603E-2</v>
      </c>
      <c r="D101" s="6">
        <v>0</v>
      </c>
      <c r="E101" s="6">
        <v>0</v>
      </c>
      <c r="F101" s="6">
        <v>0.119047619047619</v>
      </c>
      <c r="G101" s="6">
        <v>0</v>
      </c>
      <c r="H101" s="3" t="s">
        <v>966</v>
      </c>
      <c r="I101" s="3" t="s">
        <v>979</v>
      </c>
      <c r="J101" s="3" t="s">
        <v>956</v>
      </c>
    </row>
    <row r="102" spans="1:10" x14ac:dyDescent="0.3">
      <c r="A102" s="2" t="s">
        <v>410</v>
      </c>
      <c r="B102" s="5">
        <v>59</v>
      </c>
      <c r="C102" s="6">
        <v>2.9850746268656699E-2</v>
      </c>
      <c r="D102" s="6">
        <v>0</v>
      </c>
      <c r="E102" s="6">
        <v>0</v>
      </c>
      <c r="F102" s="6">
        <v>0.104477611940299</v>
      </c>
      <c r="G102" s="6">
        <v>0</v>
      </c>
      <c r="H102" s="3" t="s">
        <v>980</v>
      </c>
      <c r="I102" s="3" t="s">
        <v>376</v>
      </c>
      <c r="J102" s="3" t="s">
        <v>918</v>
      </c>
    </row>
    <row r="103" spans="1:10" x14ac:dyDescent="0.3">
      <c r="A103" s="2" t="s">
        <v>415</v>
      </c>
      <c r="B103" s="5">
        <v>60</v>
      </c>
      <c r="C103" s="6">
        <v>2.9850746268656699E-2</v>
      </c>
      <c r="D103" s="6">
        <v>0</v>
      </c>
      <c r="E103" s="6">
        <v>0</v>
      </c>
      <c r="F103" s="6">
        <v>0.104477611940299</v>
      </c>
      <c r="G103" s="6">
        <v>0</v>
      </c>
      <c r="H103" s="3" t="s">
        <v>980</v>
      </c>
      <c r="I103" s="3" t="s">
        <v>376</v>
      </c>
      <c r="J103" s="3" t="s">
        <v>918</v>
      </c>
    </row>
    <row r="104" spans="1:10" x14ac:dyDescent="0.3">
      <c r="A104" s="2" t="s">
        <v>418</v>
      </c>
      <c r="B104" s="5">
        <v>61</v>
      </c>
      <c r="C104" s="6">
        <v>2.7777777777777801E-2</v>
      </c>
      <c r="D104" s="6">
        <v>0</v>
      </c>
      <c r="E104" s="6">
        <v>0</v>
      </c>
      <c r="F104" s="6">
        <v>8.3333333333333301E-2</v>
      </c>
      <c r="G104" s="6">
        <v>0</v>
      </c>
      <c r="H104" s="3" t="s">
        <v>981</v>
      </c>
      <c r="I104" s="3" t="s">
        <v>376</v>
      </c>
      <c r="J104" s="3" t="s">
        <v>940</v>
      </c>
    </row>
    <row r="105" spans="1:10" x14ac:dyDescent="0.3">
      <c r="A105" s="2" t="s">
        <v>423</v>
      </c>
      <c r="B105" s="5">
        <v>62</v>
      </c>
      <c r="C105" s="6">
        <v>2.7777777777777801E-2</v>
      </c>
      <c r="D105" s="6">
        <v>0</v>
      </c>
      <c r="E105" s="6">
        <v>0</v>
      </c>
      <c r="F105" s="6">
        <v>8.3333333333333301E-2</v>
      </c>
      <c r="G105" s="6">
        <v>0</v>
      </c>
      <c r="H105" s="3" t="s">
        <v>981</v>
      </c>
      <c r="I105" s="3" t="s">
        <v>376</v>
      </c>
      <c r="J105" s="3" t="s">
        <v>940</v>
      </c>
    </row>
    <row r="106" spans="1:10" x14ac:dyDescent="0.3">
      <c r="A106" s="2" t="s">
        <v>429</v>
      </c>
      <c r="B106" s="5">
        <v>63</v>
      </c>
      <c r="C106" s="6">
        <v>0.108108108108108</v>
      </c>
      <c r="D106" s="6">
        <v>0</v>
      </c>
      <c r="E106" s="6">
        <v>0</v>
      </c>
      <c r="F106" s="6">
        <v>0.162162162162162</v>
      </c>
      <c r="G106" s="6">
        <v>8.3333333333333301E-2</v>
      </c>
      <c r="H106" s="3" t="s">
        <v>982</v>
      </c>
      <c r="I106" s="3" t="s">
        <v>916</v>
      </c>
      <c r="J106" s="3" t="s">
        <v>911</v>
      </c>
    </row>
    <row r="107" spans="1:10" x14ac:dyDescent="0.3">
      <c r="A107" s="2" t="s">
        <v>433</v>
      </c>
      <c r="B107" s="5">
        <v>64</v>
      </c>
      <c r="C107" s="6">
        <v>0.108108108108108</v>
      </c>
      <c r="D107" s="6">
        <v>0</v>
      </c>
      <c r="E107" s="6">
        <v>0</v>
      </c>
      <c r="F107" s="6">
        <v>0.162162162162162</v>
      </c>
      <c r="G107" s="6">
        <v>8.3333333333333301E-2</v>
      </c>
      <c r="H107" s="3" t="s">
        <v>982</v>
      </c>
      <c r="I107" s="3" t="s">
        <v>916</v>
      </c>
      <c r="J107" s="3" t="s">
        <v>911</v>
      </c>
    </row>
    <row r="108" spans="1:10" x14ac:dyDescent="0.3">
      <c r="A108" s="2" t="s">
        <v>437</v>
      </c>
      <c r="B108" s="5">
        <v>65</v>
      </c>
      <c r="C108" s="6">
        <v>4.8387096774193498E-2</v>
      </c>
      <c r="D108" s="6">
        <v>0</v>
      </c>
      <c r="E108" s="6">
        <v>0</v>
      </c>
      <c r="F108" s="6">
        <v>9.6774193548387094E-2</v>
      </c>
      <c r="G108" s="6">
        <v>0</v>
      </c>
      <c r="H108" s="3" t="s">
        <v>914</v>
      </c>
      <c r="I108" s="3" t="s">
        <v>12</v>
      </c>
      <c r="J108" s="3" t="s">
        <v>958</v>
      </c>
    </row>
    <row r="109" spans="1:10" x14ac:dyDescent="0.3">
      <c r="A109" s="2" t="s">
        <v>440</v>
      </c>
      <c r="B109" s="5">
        <v>66</v>
      </c>
      <c r="C109" s="6">
        <v>4.8387096774193498E-2</v>
      </c>
      <c r="D109" s="6">
        <v>0</v>
      </c>
      <c r="E109" s="6">
        <v>0</v>
      </c>
      <c r="F109" s="6">
        <v>9.6774193548387094E-2</v>
      </c>
      <c r="G109" s="6">
        <v>0</v>
      </c>
      <c r="H109" s="3" t="s">
        <v>914</v>
      </c>
      <c r="I109" s="3" t="s">
        <v>12</v>
      </c>
      <c r="J109" s="3" t="s">
        <v>958</v>
      </c>
    </row>
    <row r="110" spans="1:10" x14ac:dyDescent="0.3">
      <c r="A110" s="2" t="s">
        <v>444</v>
      </c>
      <c r="B110" s="5">
        <v>67</v>
      </c>
      <c r="C110" s="6">
        <v>0</v>
      </c>
      <c r="D110" s="6">
        <v>0</v>
      </c>
      <c r="E110" s="6">
        <v>0</v>
      </c>
      <c r="F110" s="6">
        <v>0</v>
      </c>
      <c r="G110" s="6">
        <v>0</v>
      </c>
      <c r="H110" s="3" t="s">
        <v>983</v>
      </c>
      <c r="I110" s="3"/>
      <c r="J110" s="3" t="s">
        <v>954</v>
      </c>
    </row>
    <row r="111" spans="1:10" x14ac:dyDescent="0.3">
      <c r="A111" s="2" t="s">
        <v>446</v>
      </c>
      <c r="B111" s="5">
        <v>68</v>
      </c>
      <c r="C111" s="6">
        <v>0</v>
      </c>
      <c r="D111" s="6">
        <v>0</v>
      </c>
      <c r="E111" s="6">
        <v>0</v>
      </c>
      <c r="F111" s="6">
        <v>0</v>
      </c>
      <c r="G111" s="6">
        <v>0</v>
      </c>
      <c r="H111" s="3" t="s">
        <v>983</v>
      </c>
      <c r="I111" s="3"/>
      <c r="J111" s="3" t="s">
        <v>954</v>
      </c>
    </row>
    <row r="112" spans="1:10" x14ac:dyDescent="0.3">
      <c r="A112" s="2" t="s">
        <v>450</v>
      </c>
      <c r="B112" s="5">
        <v>69</v>
      </c>
      <c r="C112" s="6">
        <v>5.2631578947368397E-2</v>
      </c>
      <c r="D112" s="6">
        <v>0</v>
      </c>
      <c r="E112" s="6">
        <v>0</v>
      </c>
      <c r="F112" s="6">
        <v>0.144736842105263</v>
      </c>
      <c r="G112" s="6">
        <v>0.63636363636363602</v>
      </c>
      <c r="H112" s="3" t="s">
        <v>984</v>
      </c>
      <c r="I112" s="3" t="s">
        <v>12</v>
      </c>
      <c r="J112" s="3" t="s">
        <v>945</v>
      </c>
    </row>
    <row r="113" spans="1:10" x14ac:dyDescent="0.3">
      <c r="A113" s="2" t="s">
        <v>454</v>
      </c>
      <c r="B113" s="5">
        <v>70</v>
      </c>
      <c r="C113" s="6">
        <v>5.2631578947368397E-2</v>
      </c>
      <c r="D113" s="6">
        <v>0</v>
      </c>
      <c r="E113" s="6">
        <v>0</v>
      </c>
      <c r="F113" s="6">
        <v>0.144736842105263</v>
      </c>
      <c r="G113" s="6">
        <v>0.63636363636363602</v>
      </c>
      <c r="H113" s="3" t="s">
        <v>984</v>
      </c>
      <c r="I113" s="3" t="s">
        <v>12</v>
      </c>
      <c r="J113" s="3" t="s">
        <v>945</v>
      </c>
    </row>
    <row r="114" spans="1:10" x14ac:dyDescent="0.3">
      <c r="A114" s="2" t="s">
        <v>457</v>
      </c>
      <c r="B114" s="5">
        <v>71</v>
      </c>
      <c r="C114" s="6">
        <v>2.7777777777777801E-2</v>
      </c>
      <c r="D114" s="6">
        <v>0</v>
      </c>
      <c r="E114" s="6">
        <v>1.3698630136986301E-2</v>
      </c>
      <c r="F114" s="6">
        <v>4.1666666666666699E-2</v>
      </c>
      <c r="G114" s="6">
        <v>0</v>
      </c>
      <c r="H114" s="3" t="s">
        <v>985</v>
      </c>
      <c r="I114" s="3" t="s">
        <v>956</v>
      </c>
      <c r="J114" s="3" t="s">
        <v>916</v>
      </c>
    </row>
    <row r="115" spans="1:10" x14ac:dyDescent="0.3">
      <c r="A115" s="2" t="s">
        <v>461</v>
      </c>
      <c r="B115" s="5">
        <v>72</v>
      </c>
      <c r="C115" s="6">
        <v>2.7777777777777801E-2</v>
      </c>
      <c r="D115" s="6">
        <v>0</v>
      </c>
      <c r="E115" s="6">
        <v>1.3698630136986301E-2</v>
      </c>
      <c r="F115" s="6">
        <v>4.1666666666666699E-2</v>
      </c>
      <c r="G115" s="6">
        <v>0</v>
      </c>
      <c r="H115" s="3" t="s">
        <v>985</v>
      </c>
      <c r="I115" s="3" t="s">
        <v>956</v>
      </c>
      <c r="J115" s="3" t="s">
        <v>916</v>
      </c>
    </row>
    <row r="116" spans="1:10" x14ac:dyDescent="0.3">
      <c r="A116" s="2" t="s">
        <v>464</v>
      </c>
      <c r="B116" s="5">
        <v>73</v>
      </c>
      <c r="C116" s="6">
        <v>3.0769230769230799E-2</v>
      </c>
      <c r="D116" s="6">
        <v>0</v>
      </c>
      <c r="E116" s="6">
        <v>2.9850746268656699E-2</v>
      </c>
      <c r="F116" s="6">
        <v>7.69230769230769E-2</v>
      </c>
      <c r="G116" s="6">
        <v>0.2</v>
      </c>
      <c r="H116" s="3" t="s">
        <v>986</v>
      </c>
      <c r="I116" s="3" t="s">
        <v>910</v>
      </c>
      <c r="J116" s="3" t="s">
        <v>921</v>
      </c>
    </row>
    <row r="117" spans="1:10" x14ac:dyDescent="0.3">
      <c r="A117" s="2" t="s">
        <v>466</v>
      </c>
      <c r="B117" s="5">
        <v>74</v>
      </c>
      <c r="C117" s="6">
        <v>3.0769230769230799E-2</v>
      </c>
      <c r="D117" s="6">
        <v>0</v>
      </c>
      <c r="E117" s="6">
        <v>2.9850746268656699E-2</v>
      </c>
      <c r="F117" s="6">
        <v>7.69230769230769E-2</v>
      </c>
      <c r="G117" s="6">
        <v>0.2</v>
      </c>
      <c r="H117" s="3" t="s">
        <v>986</v>
      </c>
      <c r="I117" s="3" t="s">
        <v>910</v>
      </c>
      <c r="J117" s="3" t="s">
        <v>921</v>
      </c>
    </row>
    <row r="118" spans="1:10" x14ac:dyDescent="0.3">
      <c r="A118" s="2" t="s">
        <v>468</v>
      </c>
      <c r="B118" s="5">
        <v>75</v>
      </c>
      <c r="C118" s="6">
        <v>0.13636363636363599</v>
      </c>
      <c r="D118" s="6">
        <v>0</v>
      </c>
      <c r="E118" s="6">
        <v>0</v>
      </c>
      <c r="F118" s="6">
        <v>0.204545454545455</v>
      </c>
      <c r="G118" s="6">
        <v>0</v>
      </c>
      <c r="H118" s="3" t="s">
        <v>987</v>
      </c>
      <c r="I118" s="3" t="s">
        <v>988</v>
      </c>
      <c r="J118" s="3" t="s">
        <v>913</v>
      </c>
    </row>
    <row r="119" spans="1:10" x14ac:dyDescent="0.3">
      <c r="A119" s="2" t="s">
        <v>472</v>
      </c>
      <c r="B119" s="5">
        <v>76</v>
      </c>
      <c r="C119" s="6">
        <v>0.13636363636363599</v>
      </c>
      <c r="D119" s="6">
        <v>0</v>
      </c>
      <c r="E119" s="6">
        <v>0</v>
      </c>
      <c r="F119" s="6">
        <v>0.204545454545455</v>
      </c>
      <c r="G119" s="6">
        <v>0</v>
      </c>
      <c r="H119" s="3" t="s">
        <v>987</v>
      </c>
      <c r="I119" s="3" t="s">
        <v>988</v>
      </c>
      <c r="J119" s="3" t="s">
        <v>913</v>
      </c>
    </row>
    <row r="120" spans="1:10" x14ac:dyDescent="0.3">
      <c r="A120" s="2" t="s">
        <v>476</v>
      </c>
      <c r="B120" s="5">
        <v>77</v>
      </c>
      <c r="C120" s="6">
        <v>1.63934426229508E-2</v>
      </c>
      <c r="D120" s="6">
        <v>0</v>
      </c>
      <c r="E120" s="6">
        <v>0</v>
      </c>
      <c r="F120" s="6">
        <v>8.1967213114754106E-2</v>
      </c>
      <c r="G120" s="6">
        <v>0</v>
      </c>
      <c r="H120" s="3" t="s">
        <v>980</v>
      </c>
      <c r="I120" s="3" t="s">
        <v>920</v>
      </c>
      <c r="J120" s="3" t="s">
        <v>940</v>
      </c>
    </row>
    <row r="121" spans="1:10" x14ac:dyDescent="0.3">
      <c r="A121" s="2" t="s">
        <v>481</v>
      </c>
      <c r="B121" s="5">
        <v>78</v>
      </c>
      <c r="C121" s="6">
        <v>1.63934426229508E-2</v>
      </c>
      <c r="D121" s="6">
        <v>0</v>
      </c>
      <c r="E121" s="6">
        <v>0</v>
      </c>
      <c r="F121" s="6">
        <v>8.1967213114754106E-2</v>
      </c>
      <c r="G121" s="6">
        <v>0</v>
      </c>
      <c r="H121" s="3" t="s">
        <v>980</v>
      </c>
      <c r="I121" s="3" t="s">
        <v>920</v>
      </c>
      <c r="J121" s="3" t="s">
        <v>940</v>
      </c>
    </row>
    <row r="122" spans="1:10" x14ac:dyDescent="0.3">
      <c r="A122" s="2" t="s">
        <v>484</v>
      </c>
      <c r="B122" s="5">
        <v>79</v>
      </c>
      <c r="C122" s="6">
        <v>0.13043478260869601</v>
      </c>
      <c r="D122" s="6">
        <v>0</v>
      </c>
      <c r="E122" s="6">
        <v>0</v>
      </c>
      <c r="F122" s="6">
        <v>0.19565217391304299</v>
      </c>
      <c r="G122" s="6">
        <v>0</v>
      </c>
      <c r="H122" s="3" t="s">
        <v>989</v>
      </c>
      <c r="I122" s="3" t="s">
        <v>12</v>
      </c>
      <c r="J122" s="3" t="s">
        <v>916</v>
      </c>
    </row>
    <row r="123" spans="1:10" x14ac:dyDescent="0.3">
      <c r="A123" s="2" t="s">
        <v>488</v>
      </c>
      <c r="B123" s="5">
        <v>80</v>
      </c>
      <c r="C123" s="6">
        <v>0.13043478260869601</v>
      </c>
      <c r="D123" s="6">
        <v>0</v>
      </c>
      <c r="E123" s="6">
        <v>0</v>
      </c>
      <c r="F123" s="6">
        <v>0.19565217391304299</v>
      </c>
      <c r="G123" s="6">
        <v>0</v>
      </c>
      <c r="H123" s="3" t="s">
        <v>989</v>
      </c>
      <c r="I123" s="3" t="s">
        <v>12</v>
      </c>
      <c r="J123" s="3" t="s">
        <v>916</v>
      </c>
    </row>
    <row r="124" spans="1:10" x14ac:dyDescent="0.3">
      <c r="A124" s="2" t="s">
        <v>494</v>
      </c>
      <c r="B124" s="5">
        <v>81</v>
      </c>
      <c r="C124" s="6">
        <v>6.5573770491803296E-2</v>
      </c>
      <c r="D124" s="6">
        <v>0</v>
      </c>
      <c r="E124" s="6">
        <v>0</v>
      </c>
      <c r="F124" s="6">
        <v>9.8360655737704902E-2</v>
      </c>
      <c r="G124" s="6">
        <v>0</v>
      </c>
      <c r="H124" s="3" t="s">
        <v>990</v>
      </c>
      <c r="I124" s="3" t="s">
        <v>911</v>
      </c>
      <c r="J124" s="3" t="s">
        <v>956</v>
      </c>
    </row>
    <row r="125" spans="1:10" x14ac:dyDescent="0.3">
      <c r="A125" s="2" t="s">
        <v>495</v>
      </c>
      <c r="B125" s="5">
        <v>82</v>
      </c>
      <c r="C125" s="6">
        <v>6.5573770491803296E-2</v>
      </c>
      <c r="D125" s="6">
        <v>0</v>
      </c>
      <c r="E125" s="6">
        <v>0</v>
      </c>
      <c r="F125" s="6">
        <v>9.8360655737704902E-2</v>
      </c>
      <c r="G125" s="6">
        <v>0</v>
      </c>
      <c r="H125" s="3" t="s">
        <v>990</v>
      </c>
      <c r="I125" s="3" t="s">
        <v>911</v>
      </c>
      <c r="J125" s="3" t="s">
        <v>956</v>
      </c>
    </row>
    <row r="126" spans="1:10" x14ac:dyDescent="0.3">
      <c r="A126" s="2" t="s">
        <v>498</v>
      </c>
      <c r="B126" s="5">
        <v>83</v>
      </c>
      <c r="C126" s="6">
        <v>0.11111111111111099</v>
      </c>
      <c r="D126" s="6">
        <v>0</v>
      </c>
      <c r="E126" s="6">
        <v>0</v>
      </c>
      <c r="F126" s="6">
        <v>0.126984126984127</v>
      </c>
      <c r="G126" s="6">
        <v>0</v>
      </c>
      <c r="H126" s="3" t="s">
        <v>984</v>
      </c>
      <c r="I126" s="3" t="s">
        <v>916</v>
      </c>
      <c r="J126" s="3" t="s">
        <v>991</v>
      </c>
    </row>
    <row r="127" spans="1:10" x14ac:dyDescent="0.3">
      <c r="A127" s="2" t="s">
        <v>502</v>
      </c>
      <c r="B127" s="5">
        <v>84</v>
      </c>
      <c r="C127" s="6">
        <v>0.11111111111111099</v>
      </c>
      <c r="D127" s="6">
        <v>0</v>
      </c>
      <c r="E127" s="6">
        <v>0</v>
      </c>
      <c r="F127" s="6">
        <v>0.126984126984127</v>
      </c>
      <c r="G127" s="6">
        <v>0</v>
      </c>
      <c r="H127" s="3" t="s">
        <v>984</v>
      </c>
      <c r="I127" s="3" t="s">
        <v>916</v>
      </c>
      <c r="J127" s="3" t="s">
        <v>991</v>
      </c>
    </row>
    <row r="128" spans="1:10" x14ac:dyDescent="0.3">
      <c r="A128" s="2" t="s">
        <v>507</v>
      </c>
      <c r="B128" s="5">
        <v>85</v>
      </c>
      <c r="C128" s="6">
        <v>5.4545454545454501E-2</v>
      </c>
      <c r="D128" s="6">
        <v>0</v>
      </c>
      <c r="E128" s="6">
        <v>0</v>
      </c>
      <c r="F128" s="6">
        <v>0.145454545454545</v>
      </c>
      <c r="G128" s="6">
        <v>0.125</v>
      </c>
      <c r="H128" s="3" t="s">
        <v>992</v>
      </c>
      <c r="I128" s="3" t="s">
        <v>923</v>
      </c>
      <c r="J128" s="3" t="s">
        <v>940</v>
      </c>
    </row>
    <row r="129" spans="1:10" x14ac:dyDescent="0.3">
      <c r="A129" s="2" t="s">
        <v>511</v>
      </c>
      <c r="B129" s="5">
        <v>86</v>
      </c>
      <c r="C129" s="6">
        <v>5.4545454545454501E-2</v>
      </c>
      <c r="D129" s="6">
        <v>0</v>
      </c>
      <c r="E129" s="6">
        <v>0</v>
      </c>
      <c r="F129" s="6">
        <v>0.145454545454545</v>
      </c>
      <c r="G129" s="6">
        <v>0.125</v>
      </c>
      <c r="H129" s="3" t="s">
        <v>992</v>
      </c>
      <c r="I129" s="3" t="s">
        <v>923</v>
      </c>
      <c r="J129" s="3" t="s">
        <v>940</v>
      </c>
    </row>
    <row r="130" spans="1:10" x14ac:dyDescent="0.3">
      <c r="A130" s="2" t="s">
        <v>515</v>
      </c>
      <c r="B130" s="5">
        <v>87</v>
      </c>
      <c r="C130" s="6">
        <v>0.102040816326531</v>
      </c>
      <c r="D130" s="6">
        <v>0</v>
      </c>
      <c r="E130" s="6">
        <v>0.02</v>
      </c>
      <c r="F130" s="6">
        <v>0.102040816326531</v>
      </c>
      <c r="G130" s="6">
        <v>0</v>
      </c>
      <c r="H130" s="3" t="s">
        <v>970</v>
      </c>
      <c r="I130" s="3" t="s">
        <v>12</v>
      </c>
      <c r="J130" s="3" t="s">
        <v>926</v>
      </c>
    </row>
    <row r="131" spans="1:10" x14ac:dyDescent="0.3">
      <c r="A131" s="2" t="s">
        <v>520</v>
      </c>
      <c r="B131" s="5">
        <v>88</v>
      </c>
      <c r="C131" s="6">
        <v>0.102040816326531</v>
      </c>
      <c r="D131" s="6">
        <v>0</v>
      </c>
      <c r="E131" s="6">
        <v>0.02</v>
      </c>
      <c r="F131" s="6">
        <v>0.102040816326531</v>
      </c>
      <c r="G131" s="6">
        <v>0</v>
      </c>
      <c r="H131" s="3" t="s">
        <v>970</v>
      </c>
      <c r="I131" s="3" t="s">
        <v>12</v>
      </c>
      <c r="J131" s="3" t="s">
        <v>926</v>
      </c>
    </row>
    <row r="132" spans="1:10" x14ac:dyDescent="0.3">
      <c r="A132" s="2" t="s">
        <v>523</v>
      </c>
      <c r="B132" s="5">
        <v>89</v>
      </c>
      <c r="C132" s="6">
        <v>0.1</v>
      </c>
      <c r="D132" s="6">
        <v>0</v>
      </c>
      <c r="E132" s="6">
        <v>0</v>
      </c>
      <c r="F132" s="6">
        <v>0.1</v>
      </c>
      <c r="G132" s="6">
        <v>0</v>
      </c>
      <c r="H132" s="3" t="s">
        <v>993</v>
      </c>
      <c r="I132" s="3" t="s">
        <v>12</v>
      </c>
      <c r="J132" s="3" t="s">
        <v>973</v>
      </c>
    </row>
    <row r="133" spans="1:10" x14ac:dyDescent="0.3">
      <c r="A133" s="2" t="s">
        <v>526</v>
      </c>
      <c r="B133" s="5">
        <v>90</v>
      </c>
      <c r="C133" s="6">
        <v>0.1</v>
      </c>
      <c r="D133" s="6">
        <v>0</v>
      </c>
      <c r="E133" s="6">
        <v>0</v>
      </c>
      <c r="F133" s="6">
        <v>0.1</v>
      </c>
      <c r="G133" s="6">
        <v>0</v>
      </c>
      <c r="H133" s="3" t="s">
        <v>993</v>
      </c>
      <c r="I133" s="3" t="s">
        <v>12</v>
      </c>
      <c r="J133" s="3" t="s">
        <v>973</v>
      </c>
    </row>
    <row r="134" spans="1:10" x14ac:dyDescent="0.3">
      <c r="A134" s="2" t="s">
        <v>530</v>
      </c>
      <c r="B134" s="5">
        <v>91</v>
      </c>
      <c r="C134" s="6">
        <v>3.3898305084745797E-2</v>
      </c>
      <c r="D134" s="6">
        <v>0</v>
      </c>
      <c r="E134" s="6">
        <v>0</v>
      </c>
      <c r="F134" s="6">
        <v>0.152542372881356</v>
      </c>
      <c r="G134" s="6">
        <v>0.11111111111111099</v>
      </c>
      <c r="H134" s="3" t="s">
        <v>946</v>
      </c>
      <c r="I134" s="3" t="s">
        <v>994</v>
      </c>
      <c r="J134" s="3" t="s">
        <v>926</v>
      </c>
    </row>
    <row r="135" spans="1:10" x14ac:dyDescent="0.3">
      <c r="A135" s="2" t="s">
        <v>534</v>
      </c>
      <c r="B135" s="5">
        <v>92</v>
      </c>
      <c r="C135" s="6">
        <v>3.3898305084745797E-2</v>
      </c>
      <c r="D135" s="6">
        <v>0</v>
      </c>
      <c r="E135" s="6">
        <v>0</v>
      </c>
      <c r="F135" s="6">
        <v>0.152542372881356</v>
      </c>
      <c r="G135" s="6">
        <v>0.11111111111111099</v>
      </c>
      <c r="H135" s="3" t="s">
        <v>946</v>
      </c>
      <c r="I135" s="3" t="s">
        <v>994</v>
      </c>
      <c r="J135" s="3" t="s">
        <v>926</v>
      </c>
    </row>
    <row r="136" spans="1:10" x14ac:dyDescent="0.3">
      <c r="A136" s="2" t="s">
        <v>540</v>
      </c>
      <c r="B136" s="5">
        <v>93</v>
      </c>
      <c r="C136" s="6">
        <v>6.3829787234042604E-2</v>
      </c>
      <c r="D136" s="6">
        <v>0</v>
      </c>
      <c r="E136" s="6">
        <v>0</v>
      </c>
      <c r="F136" s="6">
        <v>0.19148936170212799</v>
      </c>
      <c r="G136" s="6">
        <v>0</v>
      </c>
      <c r="H136" s="3" t="s">
        <v>995</v>
      </c>
      <c r="I136" s="3" t="s">
        <v>996</v>
      </c>
      <c r="J136" s="3" t="s">
        <v>927</v>
      </c>
    </row>
    <row r="137" spans="1:10" x14ac:dyDescent="0.3">
      <c r="A137" s="2" t="s">
        <v>544</v>
      </c>
      <c r="B137" s="5">
        <v>94</v>
      </c>
      <c r="C137" s="6">
        <v>6.3829787234042604E-2</v>
      </c>
      <c r="D137" s="6">
        <v>0</v>
      </c>
      <c r="E137" s="6">
        <v>0</v>
      </c>
      <c r="F137" s="6">
        <v>0.19148936170212799</v>
      </c>
      <c r="G137" s="6">
        <v>0</v>
      </c>
      <c r="H137" s="3" t="s">
        <v>995</v>
      </c>
      <c r="I137" s="3" t="s">
        <v>996</v>
      </c>
      <c r="J137" s="3" t="s">
        <v>927</v>
      </c>
    </row>
    <row r="138" spans="1:10" x14ac:dyDescent="0.3">
      <c r="A138" s="2" t="s">
        <v>549</v>
      </c>
      <c r="B138" s="5">
        <v>95</v>
      </c>
      <c r="C138" s="6">
        <v>0.118421052631579</v>
      </c>
      <c r="D138" s="6">
        <v>0</v>
      </c>
      <c r="E138" s="6">
        <v>0</v>
      </c>
      <c r="F138" s="6">
        <v>0.23684210526315799</v>
      </c>
      <c r="G138" s="6">
        <v>5.5555555555555601E-2</v>
      </c>
      <c r="H138" s="3" t="s">
        <v>983</v>
      </c>
      <c r="I138" s="3" t="s">
        <v>934</v>
      </c>
      <c r="J138" s="3" t="s">
        <v>940</v>
      </c>
    </row>
    <row r="139" spans="1:10" x14ac:dyDescent="0.3">
      <c r="A139" s="2" t="s">
        <v>553</v>
      </c>
      <c r="B139" s="5">
        <v>96</v>
      </c>
      <c r="C139" s="6">
        <v>0.118421052631579</v>
      </c>
      <c r="D139" s="6">
        <v>0</v>
      </c>
      <c r="E139" s="6">
        <v>0</v>
      </c>
      <c r="F139" s="6">
        <v>0.23684210526315799</v>
      </c>
      <c r="G139" s="6">
        <v>5.5555555555555601E-2</v>
      </c>
      <c r="H139" s="3" t="s">
        <v>983</v>
      </c>
      <c r="I139" s="3" t="s">
        <v>934</v>
      </c>
      <c r="J139" s="3" t="s">
        <v>940</v>
      </c>
    </row>
    <row r="140" spans="1:10" x14ac:dyDescent="0.3">
      <c r="A140" s="2" t="s">
        <v>557</v>
      </c>
      <c r="B140" s="5">
        <v>97</v>
      </c>
      <c r="C140" s="6">
        <v>7.1428571428571397E-2</v>
      </c>
      <c r="D140" s="6">
        <v>0</v>
      </c>
      <c r="E140" s="6">
        <v>0</v>
      </c>
      <c r="F140" s="6">
        <v>0.128571428571428</v>
      </c>
      <c r="G140" s="6">
        <v>0.22222222222222199</v>
      </c>
      <c r="H140" s="3" t="s">
        <v>931</v>
      </c>
      <c r="I140" s="3" t="s">
        <v>997</v>
      </c>
      <c r="J140" s="3" t="s">
        <v>940</v>
      </c>
    </row>
    <row r="141" spans="1:10" x14ac:dyDescent="0.3">
      <c r="A141" s="2" t="s">
        <v>560</v>
      </c>
      <c r="B141" s="5">
        <v>98</v>
      </c>
      <c r="C141" s="6">
        <v>7.1428571428571397E-2</v>
      </c>
      <c r="D141" s="6">
        <v>0</v>
      </c>
      <c r="E141" s="6">
        <v>0</v>
      </c>
      <c r="F141" s="6">
        <v>0.128571428571428</v>
      </c>
      <c r="G141" s="6">
        <v>0.22222222222222199</v>
      </c>
      <c r="H141" s="3" t="s">
        <v>931</v>
      </c>
      <c r="I141" s="3" t="s">
        <v>997</v>
      </c>
      <c r="J141" s="3" t="s">
        <v>940</v>
      </c>
    </row>
    <row r="142" spans="1:10" x14ac:dyDescent="0.3">
      <c r="A142" s="2" t="s">
        <v>562</v>
      </c>
      <c r="B142" s="5">
        <v>99</v>
      </c>
      <c r="C142" s="6">
        <v>0</v>
      </c>
      <c r="D142" s="6">
        <v>0</v>
      </c>
      <c r="E142" s="6">
        <v>0</v>
      </c>
      <c r="F142" s="6">
        <v>0.04</v>
      </c>
      <c r="G142" s="6">
        <v>0</v>
      </c>
      <c r="H142" s="3" t="s">
        <v>963</v>
      </c>
      <c r="I142" s="3" t="s">
        <v>998</v>
      </c>
      <c r="J142" s="3" t="s">
        <v>940</v>
      </c>
    </row>
    <row r="143" spans="1:10" x14ac:dyDescent="0.3">
      <c r="A143" s="2" t="s">
        <v>568</v>
      </c>
      <c r="B143" s="5">
        <v>100</v>
      </c>
      <c r="C143" s="6">
        <v>0</v>
      </c>
      <c r="D143" s="6">
        <v>0</v>
      </c>
      <c r="E143" s="6">
        <v>0</v>
      </c>
      <c r="F143" s="6">
        <v>0.04</v>
      </c>
      <c r="G143" s="6">
        <v>0</v>
      </c>
      <c r="H143" s="3" t="s">
        <v>963</v>
      </c>
      <c r="I143" s="3" t="s">
        <v>998</v>
      </c>
      <c r="J143" s="3" t="s">
        <v>940</v>
      </c>
    </row>
    <row r="144" spans="1:10" x14ac:dyDescent="0.3">
      <c r="A144" s="2" t="s">
        <v>570</v>
      </c>
      <c r="B144" s="5">
        <v>101</v>
      </c>
      <c r="C144" s="6">
        <v>3.1746031746031703E-2</v>
      </c>
      <c r="D144" s="6">
        <v>0</v>
      </c>
      <c r="E144" s="6">
        <v>0</v>
      </c>
      <c r="F144" s="6">
        <v>0.126984126984127</v>
      </c>
      <c r="G144" s="6">
        <v>0</v>
      </c>
      <c r="H144" s="3" t="s">
        <v>999</v>
      </c>
      <c r="I144" s="3" t="s">
        <v>1000</v>
      </c>
      <c r="J144" s="3" t="s">
        <v>935</v>
      </c>
    </row>
    <row r="145" spans="1:10" x14ac:dyDescent="0.3">
      <c r="A145" s="2" t="s">
        <v>575</v>
      </c>
      <c r="B145" s="5">
        <v>102</v>
      </c>
      <c r="C145" s="6">
        <v>3.1746031746031703E-2</v>
      </c>
      <c r="D145" s="6">
        <v>0</v>
      </c>
      <c r="E145" s="6">
        <v>0</v>
      </c>
      <c r="F145" s="6">
        <v>0.126984126984127</v>
      </c>
      <c r="G145" s="6">
        <v>0</v>
      </c>
      <c r="H145" s="3" t="s">
        <v>999</v>
      </c>
      <c r="I145" s="3" t="s">
        <v>1000</v>
      </c>
      <c r="J145" s="3" t="s">
        <v>935</v>
      </c>
    </row>
    <row r="146" spans="1:10" x14ac:dyDescent="0.3">
      <c r="A146" s="2" t="s">
        <v>577</v>
      </c>
      <c r="B146" s="5">
        <v>103</v>
      </c>
      <c r="C146" s="6">
        <v>0</v>
      </c>
      <c r="D146" s="6">
        <v>0</v>
      </c>
      <c r="E146" s="6">
        <v>0</v>
      </c>
      <c r="F146" s="6">
        <v>4.8387096774193498E-2</v>
      </c>
      <c r="G146" s="6">
        <v>0</v>
      </c>
      <c r="H146" s="3" t="s">
        <v>981</v>
      </c>
      <c r="I146" s="3" t="s">
        <v>12</v>
      </c>
      <c r="J146" s="3" t="s">
        <v>940</v>
      </c>
    </row>
    <row r="147" spans="1:10" x14ac:dyDescent="0.3">
      <c r="A147" s="2" t="s">
        <v>580</v>
      </c>
      <c r="B147" s="5">
        <v>104</v>
      </c>
      <c r="C147" s="6">
        <v>0</v>
      </c>
      <c r="D147" s="6">
        <v>0</v>
      </c>
      <c r="E147" s="6">
        <v>0</v>
      </c>
      <c r="F147" s="6">
        <v>4.8387096774193498E-2</v>
      </c>
      <c r="G147" s="6">
        <v>0</v>
      </c>
      <c r="H147" s="3" t="s">
        <v>981</v>
      </c>
      <c r="I147" s="3" t="s">
        <v>12</v>
      </c>
      <c r="J147" s="3" t="s">
        <v>940</v>
      </c>
    </row>
    <row r="148" spans="1:10" x14ac:dyDescent="0.3">
      <c r="A148" s="2" t="s">
        <v>586</v>
      </c>
      <c r="B148" s="5">
        <v>105</v>
      </c>
      <c r="C148" s="6">
        <v>3.2786885245901599E-2</v>
      </c>
      <c r="D148" s="6">
        <v>0</v>
      </c>
      <c r="E148" s="6">
        <v>0</v>
      </c>
      <c r="F148" s="6">
        <v>6.5573770491803296E-2</v>
      </c>
      <c r="G148" s="6">
        <v>0.25</v>
      </c>
      <c r="H148" s="3" t="s">
        <v>977</v>
      </c>
      <c r="I148" s="3" t="s">
        <v>12</v>
      </c>
      <c r="J148" s="3" t="s">
        <v>911</v>
      </c>
    </row>
    <row r="149" spans="1:10" x14ac:dyDescent="0.3">
      <c r="A149" s="2" t="s">
        <v>590</v>
      </c>
      <c r="B149" s="5">
        <v>106</v>
      </c>
      <c r="C149" s="6">
        <v>3.2786885245901599E-2</v>
      </c>
      <c r="D149" s="6">
        <v>0</v>
      </c>
      <c r="E149" s="6">
        <v>0</v>
      </c>
      <c r="F149" s="6">
        <v>6.5573770491803296E-2</v>
      </c>
      <c r="G149" s="6">
        <v>0.25</v>
      </c>
      <c r="H149" s="3" t="s">
        <v>977</v>
      </c>
      <c r="I149" s="3" t="s">
        <v>12</v>
      </c>
      <c r="J149" s="3" t="s">
        <v>911</v>
      </c>
    </row>
    <row r="150" spans="1:10" x14ac:dyDescent="0.3">
      <c r="A150" s="2" t="s">
        <v>592</v>
      </c>
      <c r="B150" s="5">
        <v>107</v>
      </c>
      <c r="C150" s="6">
        <v>3.2786885245901599E-2</v>
      </c>
      <c r="D150" s="6">
        <v>0</v>
      </c>
      <c r="E150" s="6">
        <v>0</v>
      </c>
      <c r="F150" s="6">
        <v>9.8360655737704902E-2</v>
      </c>
      <c r="G150" s="6">
        <v>0</v>
      </c>
      <c r="H150" s="3" t="s">
        <v>931</v>
      </c>
      <c r="I150" s="3" t="s">
        <v>921</v>
      </c>
      <c r="J150" s="3" t="s">
        <v>913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7BC49-7EC2-4DA8-A9D4-43079B9A2681}">
  <sheetPr codeName="Sheet4"/>
  <dimension ref="A1:L150"/>
  <sheetViews>
    <sheetView topLeftCell="A124" workbookViewId="0">
      <selection activeCell="D157" sqref="D157"/>
    </sheetView>
  </sheetViews>
  <sheetFormatPr defaultRowHeight="14.4" x14ac:dyDescent="0.3"/>
  <cols>
    <col min="1" max="1" width="32.33203125" customWidth="1"/>
    <col min="2" max="2" width="19.33203125" customWidth="1"/>
    <col min="3" max="3" width="26.109375" style="10" customWidth="1"/>
    <col min="4" max="4" width="14.33203125" style="10" customWidth="1"/>
    <col min="5" max="5" width="15.77734375" customWidth="1"/>
    <col min="6" max="6" width="12.6640625" customWidth="1"/>
    <col min="7" max="7" width="15" style="12" customWidth="1"/>
    <col min="8" max="8" width="10.21875" customWidth="1"/>
    <col min="9" max="9" width="8" customWidth="1"/>
    <col min="11" max="12" width="33.6640625" customWidth="1"/>
  </cols>
  <sheetData>
    <row r="1" spans="1:12" s="8" customFormat="1" x14ac:dyDescent="0.3">
      <c r="A1" s="7" t="s">
        <v>0</v>
      </c>
      <c r="B1" s="7" t="s">
        <v>1001</v>
      </c>
      <c r="C1" s="9" t="s">
        <v>1002</v>
      </c>
      <c r="D1" s="9" t="s">
        <v>597</v>
      </c>
      <c r="E1" s="7" t="s">
        <v>8</v>
      </c>
      <c r="F1" s="7" t="s">
        <v>598</v>
      </c>
      <c r="G1" s="11" t="s">
        <v>600</v>
      </c>
      <c r="H1" s="7" t="s">
        <v>1044</v>
      </c>
      <c r="I1" s="7" t="s">
        <v>1045</v>
      </c>
      <c r="J1" s="7"/>
      <c r="K1" s="7"/>
      <c r="L1" s="7"/>
    </row>
    <row r="2" spans="1:12" x14ac:dyDescent="0.3">
      <c r="A2" t="str">
        <f>Breaktime!A2</f>
        <v>Mum_Abdul Hamid (1008512)</v>
      </c>
      <c r="B2" t="str">
        <f>MID(A2,FIND("_",A2,1)+1,FIND("(",A2,1)-FIND("_",A2,1)-2)</f>
        <v>Abdul Hamid</v>
      </c>
      <c r="C2" s="10">
        <f>TIMEVALUE(VLOOKUP(A2,Edata,2,FALSE))</f>
        <v>0.34424768518518517</v>
      </c>
      <c r="D2" s="10">
        <f>TIMEVALUE(VLOOKUP(A2,Edata,3,FALSE))</f>
        <v>0.20693287037037036</v>
      </c>
      <c r="E2" s="10">
        <f t="shared" ref="E2:E33" si="0">TIMEVALUE(VLOOKUP(A2,Bdata,9,FALSE))</f>
        <v>4.7708333333333332E-2</v>
      </c>
      <c r="F2">
        <f t="shared" ref="F2:F33" si="1">VLOOKUP(A2,Odata,2,FALSE)</f>
        <v>98</v>
      </c>
      <c r="G2" s="12">
        <f>VLOOKUP(A2,Edata,6,FALSE)</f>
        <v>0.55697138822580095</v>
      </c>
      <c r="H2">
        <v>1008512</v>
      </c>
      <c r="I2" t="str" cm="1">
        <f t="array" ref="I2">_xlfn.SWITCH(LEFT(A2,FIND("_",A2)-1),
"Mum","Mumbai",
"Hyd","Hyderabad",
"Del","Delhi",
"Ban","Bangalore",
"Che","Chennai",
"Pun","Pune",
"Kol","Kolkata",
"Unknown")</f>
        <v>Mumbai</v>
      </c>
    </row>
    <row r="3" spans="1:12" x14ac:dyDescent="0.3">
      <c r="A3" t="str">
        <f>Breaktime!A3</f>
        <v>Mum_Afzal Husain (1008513)</v>
      </c>
      <c r="B3" t="str">
        <f t="shared" ref="B3:B66" si="2">MID(A3,FIND("_",A3,1)+1,FIND("(",A3,1)-FIND("_",A3,1)-2)</f>
        <v>Afzal Husain</v>
      </c>
      <c r="C3" s="10">
        <f t="shared" ref="C3:C33" si="3">TIMEVALUE(VLOOKUP(A3,Edata,2,FALSE))</f>
        <v>0.34416666666666668</v>
      </c>
      <c r="D3" s="10">
        <f t="shared" ref="D3:D33" si="4">TIMEVALUE(VLOOKUP(A3,Edata,3,FALSE))</f>
        <v>0.20733796296296297</v>
      </c>
      <c r="E3" s="10">
        <f t="shared" si="0"/>
        <v>4.8599537037037038E-2</v>
      </c>
      <c r="F3">
        <f t="shared" si="1"/>
        <v>23</v>
      </c>
      <c r="G3" s="12">
        <f t="shared" ref="G3:G33" si="5">VLOOKUP(A3,Edata,6,FALSE)</f>
        <v>0.58027306967984904</v>
      </c>
      <c r="H3">
        <v>1008513</v>
      </c>
      <c r="I3" t="str" cm="1">
        <f t="array" ref="I3">_xlfn.SWITCH(LEFT(A3,FIND("_",A3)-1),
"Mum","Mumbai",
"Hyd","Hyderabad",
"Del","Delhi",
"Ban","Bangalore",
"Che","Chennai",
"Pun","Pune",
"Kol","Kolkata",
"Unknown")</f>
        <v>Mumbai</v>
      </c>
    </row>
    <row r="4" spans="1:12" x14ac:dyDescent="0.3">
      <c r="A4" t="str">
        <f>Breaktime!A4</f>
        <v>Mum_Anamika Gupta (1008514)</v>
      </c>
      <c r="B4" t="str">
        <f t="shared" si="2"/>
        <v>Anamika Gupta</v>
      </c>
      <c r="C4" s="10">
        <f t="shared" si="3"/>
        <v>0.34510416666666666</v>
      </c>
      <c r="D4" s="10">
        <f t="shared" si="4"/>
        <v>0.20109953703703703</v>
      </c>
      <c r="E4" s="10">
        <f t="shared" si="0"/>
        <v>5.1319444444444445E-2</v>
      </c>
      <c r="F4">
        <f t="shared" si="1"/>
        <v>28</v>
      </c>
      <c r="G4" s="12">
        <f t="shared" si="5"/>
        <v>0.51708756749505302</v>
      </c>
      <c r="H4">
        <v>1008514</v>
      </c>
      <c r="I4" t="str" cm="1">
        <f t="array" ref="I4">_xlfn.SWITCH(LEFT(A4,FIND("_",A4)-1),
"Mum","Mumbai",
"Hyd","Hyderabad",
"Del","Delhi",
"Ban","Bangalore",
"Che","Chennai",
"Pun","Pune",
"Kol","Kolkata",
"Unknown")</f>
        <v>Mumbai</v>
      </c>
    </row>
    <row r="5" spans="1:12" x14ac:dyDescent="0.3">
      <c r="A5" t="str">
        <f>Breaktime!A5</f>
        <v>Mum_Anikuttan (1008515)</v>
      </c>
      <c r="B5" t="str">
        <f t="shared" si="2"/>
        <v>Anikuttan</v>
      </c>
      <c r="C5" s="10">
        <f t="shared" si="3"/>
        <v>0.34023148148148147</v>
      </c>
      <c r="D5" s="10">
        <f t="shared" si="4"/>
        <v>0.17884259259259258</v>
      </c>
      <c r="E5" s="10">
        <f t="shared" si="0"/>
        <v>9.6550925925925929E-2</v>
      </c>
      <c r="F5">
        <f t="shared" si="1"/>
        <v>29</v>
      </c>
      <c r="G5" s="12">
        <f t="shared" si="5"/>
        <v>0.47720778337188702</v>
      </c>
      <c r="H5">
        <v>1008515</v>
      </c>
      <c r="I5" t="str" cm="1">
        <f t="array" ref="I5">_xlfn.SWITCH(LEFT(A5,FIND("_",A5)-1),
"Mum","Mumbai",
"Hyd","Hyderabad",
"Del","Delhi",
"Ban","Bangalore",
"Che","Chennai",
"Pun","Pune",
"Kol","Kolkata",
"Unknown")</f>
        <v>Mumbai</v>
      </c>
    </row>
    <row r="6" spans="1:12" x14ac:dyDescent="0.3">
      <c r="A6" t="str">
        <f>Breaktime!A6</f>
        <v>Mum_Anil Kumar (1008516)</v>
      </c>
      <c r="B6" t="str">
        <f t="shared" si="2"/>
        <v>Anil Kumar</v>
      </c>
      <c r="C6" s="10">
        <f t="shared" si="3"/>
        <v>0.30603009259259262</v>
      </c>
      <c r="D6" s="10">
        <f t="shared" si="4"/>
        <v>0.13870370370370369</v>
      </c>
      <c r="E6" s="10">
        <f t="shared" si="0"/>
        <v>0.12844907407407408</v>
      </c>
      <c r="F6">
        <f t="shared" si="1"/>
        <v>93</v>
      </c>
      <c r="G6" s="12">
        <f t="shared" si="5"/>
        <v>0.43288831738587802</v>
      </c>
      <c r="H6">
        <v>1008516</v>
      </c>
      <c r="I6" t="str" cm="1">
        <f t="array" ref="I6">_xlfn.SWITCH(LEFT(A6,FIND("_",A6)-1),
"Mum","Mumbai",
"Hyd","Hyderabad",
"Del","Delhi",
"Ban","Bangalore",
"Che","Chennai",
"Pun","Pune",
"Kol","Kolkata",
"Unknown")</f>
        <v>Mumbai</v>
      </c>
    </row>
    <row r="7" spans="1:12" x14ac:dyDescent="0.3">
      <c r="A7" t="str">
        <f>Breaktime!A7</f>
        <v>Mum_Anita Dixit (1008517)</v>
      </c>
      <c r="B7" t="str">
        <f t="shared" si="2"/>
        <v>Anita Dixit</v>
      </c>
      <c r="C7" s="10">
        <f t="shared" si="3"/>
        <v>0.2084375</v>
      </c>
      <c r="D7" s="10">
        <f t="shared" si="4"/>
        <v>0.15369212962962964</v>
      </c>
      <c r="E7" s="10">
        <f t="shared" si="0"/>
        <v>1.8831018518518518E-2</v>
      </c>
      <c r="F7">
        <f t="shared" si="1"/>
        <v>92</v>
      </c>
      <c r="G7" s="12">
        <f t="shared" si="5"/>
        <v>0.65495030262646503</v>
      </c>
      <c r="H7">
        <v>1008517</v>
      </c>
      <c r="I7" t="str" cm="1">
        <f t="array" ref="I7">_xlfn.SWITCH(LEFT(A7,FIND("_",A7)-1),
"Mum","Mumbai",
"Hyd","Hyderabad",
"Del","Delhi",
"Ban","Bangalore",
"Che","Chennai",
"Pun","Pune",
"Kol","Kolkata",
"Unknown")</f>
        <v>Mumbai</v>
      </c>
    </row>
    <row r="8" spans="1:12" x14ac:dyDescent="0.3">
      <c r="A8" t="str">
        <f>Breaktime!A8</f>
        <v>Mum_Anita Ghore (1008518)</v>
      </c>
      <c r="B8" t="str">
        <f t="shared" si="2"/>
        <v>Anita Ghore</v>
      </c>
      <c r="C8" s="10">
        <f t="shared" si="3"/>
        <v>0.34488425925925925</v>
      </c>
      <c r="D8" s="10">
        <f t="shared" si="4"/>
        <v>0.17553240740740741</v>
      </c>
      <c r="E8" s="10">
        <f t="shared" si="0"/>
        <v>0.11229166666666666</v>
      </c>
      <c r="F8">
        <f t="shared" si="1"/>
        <v>26</v>
      </c>
      <c r="G8" s="12">
        <f t="shared" si="5"/>
        <v>0.49476474931203401</v>
      </c>
      <c r="H8">
        <v>1008518</v>
      </c>
      <c r="I8" t="str" cm="1">
        <f t="array" ref="I8">_xlfn.SWITCH(LEFT(A8,FIND("_",A8)-1),
"Mum","Mumbai",
"Hyd","Hyderabad",
"Del","Delhi",
"Ban","Bangalore",
"Che","Chennai",
"Pun","Pune",
"Kol","Kolkata",
"Unknown")</f>
        <v>Mumbai</v>
      </c>
    </row>
    <row r="9" spans="1:12" x14ac:dyDescent="0.3">
      <c r="A9" t="str">
        <f>Breaktime!A9</f>
        <v>Mum_Anjali Deoram (1008519)</v>
      </c>
      <c r="B9" t="str">
        <f t="shared" si="2"/>
        <v>Anjali Deoram</v>
      </c>
      <c r="C9" s="10">
        <f t="shared" si="3"/>
        <v>0.38646990740740739</v>
      </c>
      <c r="D9" s="10">
        <f t="shared" si="4"/>
        <v>0.24453703703703702</v>
      </c>
      <c r="E9" s="10">
        <f t="shared" si="0"/>
        <v>5.0810185185185187E-2</v>
      </c>
      <c r="F9">
        <f t="shared" si="1"/>
        <v>90</v>
      </c>
      <c r="G9" s="12">
        <f t="shared" si="5"/>
        <v>0.55128627474469205</v>
      </c>
      <c r="H9">
        <v>1008519</v>
      </c>
      <c r="I9" t="str" cm="1">
        <f t="array" ref="I9">_xlfn.SWITCH(LEFT(A9,FIND("_",A9)-1),
"Mum","Mumbai",
"Hyd","Hyderabad",
"Del","Delhi",
"Ban","Bangalore",
"Che","Chennai",
"Pun","Pune",
"Kol","Kolkata",
"Unknown")</f>
        <v>Mumbai</v>
      </c>
    </row>
    <row r="10" spans="1:12" x14ac:dyDescent="0.3">
      <c r="A10" t="str">
        <f>Breaktime!A10</f>
        <v>Mum_Anjali Sahay (1008520)</v>
      </c>
      <c r="B10" t="str">
        <f t="shared" si="2"/>
        <v>Anjali Sahay</v>
      </c>
      <c r="C10" s="10">
        <f t="shared" si="3"/>
        <v>0.34256944444444443</v>
      </c>
      <c r="D10" s="10">
        <f t="shared" si="4"/>
        <v>0.20311342592592593</v>
      </c>
      <c r="E10" s="10">
        <f t="shared" si="0"/>
        <v>4.628472222222222E-2</v>
      </c>
      <c r="F10">
        <f t="shared" si="1"/>
        <v>89</v>
      </c>
      <c r="G10" s="12">
        <f t="shared" si="5"/>
        <v>0.55206432867085597</v>
      </c>
      <c r="H10">
        <v>1008520</v>
      </c>
      <c r="I10" t="str" cm="1">
        <f t="array" ref="I10">_xlfn.SWITCH(LEFT(A10,FIND("_",A10)-1),
"Mum","Mumbai",
"Hyd","Hyderabad",
"Del","Delhi",
"Ban","Bangalore",
"Che","Chennai",
"Pun","Pune",
"Kol","Kolkata",
"Unknown")</f>
        <v>Mumbai</v>
      </c>
    </row>
    <row r="11" spans="1:12" x14ac:dyDescent="0.3">
      <c r="A11" t="str">
        <f>Breaktime!A11</f>
        <v>Mum_Annu Latika (1008521)</v>
      </c>
      <c r="B11" t="str">
        <f t="shared" si="2"/>
        <v>Annu Latika</v>
      </c>
      <c r="C11" s="10">
        <f t="shared" si="3"/>
        <v>0.34769675925925925</v>
      </c>
      <c r="D11" s="10">
        <f t="shared" si="4"/>
        <v>0.20702546296296295</v>
      </c>
      <c r="E11" s="10">
        <f t="shared" si="0"/>
        <v>4.8576388888888891E-2</v>
      </c>
      <c r="F11">
        <f t="shared" si="1"/>
        <v>54</v>
      </c>
      <c r="G11" s="12">
        <f t="shared" si="5"/>
        <v>0.56868945774108703</v>
      </c>
      <c r="H11">
        <v>1008521</v>
      </c>
      <c r="I11" t="str" cm="1">
        <f t="array" ref="I11">_xlfn.SWITCH(LEFT(A11,FIND("_",A11)-1),
"Mum","Mumbai",
"Hyd","Hyderabad",
"Del","Delhi",
"Ban","Bangalore",
"Che","Chennai",
"Pun","Pune",
"Kol","Kolkata",
"Unknown")</f>
        <v>Mumbai</v>
      </c>
    </row>
    <row r="12" spans="1:12" x14ac:dyDescent="0.3">
      <c r="A12" t="str">
        <f>Breaktime!A12</f>
        <v>Mum_Anoop Narayan (1008522)</v>
      </c>
      <c r="B12" t="str">
        <f t="shared" si="2"/>
        <v>Anoop Narayan</v>
      </c>
      <c r="C12" s="10">
        <f t="shared" si="3"/>
        <v>0.34068287037037037</v>
      </c>
      <c r="D12" s="10">
        <f t="shared" si="4"/>
        <v>0.20518518518518519</v>
      </c>
      <c r="E12" s="10">
        <f t="shared" si="0"/>
        <v>4.809027777777778E-2</v>
      </c>
      <c r="F12">
        <f t="shared" si="1"/>
        <v>87</v>
      </c>
      <c r="G12" s="12">
        <f t="shared" si="5"/>
        <v>0.56035332087650802</v>
      </c>
      <c r="H12">
        <v>1008522</v>
      </c>
      <c r="I12" t="str" cm="1">
        <f t="array" ref="I12">_xlfn.SWITCH(LEFT(A12,FIND("_",A12)-1),
"Mum","Mumbai",
"Hyd","Hyderabad",
"Del","Delhi",
"Ban","Bangalore",
"Che","Chennai",
"Pun","Pune",
"Kol","Kolkata",
"Unknown")</f>
        <v>Mumbai</v>
      </c>
    </row>
    <row r="13" spans="1:12" x14ac:dyDescent="0.3">
      <c r="A13" t="str">
        <f>Breaktime!A13</f>
        <v>Mum_Anoop Raj (1008523)</v>
      </c>
      <c r="B13" t="str">
        <f t="shared" si="2"/>
        <v>Anoop Raj</v>
      </c>
      <c r="C13" s="10">
        <f t="shared" si="3"/>
        <v>0.33622685185185186</v>
      </c>
      <c r="D13" s="10">
        <f t="shared" si="4"/>
        <v>0.15812499999999999</v>
      </c>
      <c r="E13" s="10">
        <f t="shared" si="0"/>
        <v>0.12590277777777778</v>
      </c>
      <c r="F13">
        <f t="shared" si="1"/>
        <v>65</v>
      </c>
      <c r="G13" s="12">
        <f t="shared" si="5"/>
        <v>0.41552495697073999</v>
      </c>
      <c r="H13">
        <v>1008523</v>
      </c>
      <c r="I13" t="str" cm="1">
        <f t="array" ref="I13">_xlfn.SWITCH(LEFT(A13,FIND("_",A13)-1),
"Mum","Mumbai",
"Hyd","Hyderabad",
"Del","Delhi",
"Ban","Bangalore",
"Che","Chennai",
"Pun","Pune",
"Kol","Kolkata",
"Unknown")</f>
        <v>Mumbai</v>
      </c>
    </row>
    <row r="14" spans="1:12" x14ac:dyDescent="0.3">
      <c r="A14" t="str">
        <f>Breaktime!A14</f>
        <v>Mum_Anubhuti Gupta (1008524)</v>
      </c>
      <c r="B14" t="str">
        <f t="shared" si="2"/>
        <v>Anubhuti Gupta</v>
      </c>
      <c r="C14" s="10">
        <f t="shared" si="3"/>
        <v>0.34349537037037037</v>
      </c>
      <c r="D14" s="10">
        <f t="shared" si="4"/>
        <v>0.19699074074074074</v>
      </c>
      <c r="E14" s="10">
        <f t="shared" si="0"/>
        <v>8.7974537037037032E-2</v>
      </c>
      <c r="F14">
        <f t="shared" si="1"/>
        <v>85</v>
      </c>
      <c r="G14" s="12">
        <f t="shared" si="5"/>
        <v>0.50026955994339195</v>
      </c>
      <c r="H14">
        <v>1008524</v>
      </c>
      <c r="I14" t="str" cm="1">
        <f t="array" ref="I14">_xlfn.SWITCH(LEFT(A14,FIND("_",A14)-1),
"Mum","Mumbai",
"Hyd","Hyderabad",
"Del","Delhi",
"Ban","Bangalore",
"Che","Chennai",
"Pun","Pune",
"Kol","Kolkata",
"Unknown")</f>
        <v>Mumbai</v>
      </c>
    </row>
    <row r="15" spans="1:12" x14ac:dyDescent="0.3">
      <c r="A15" t="str">
        <f>Breaktime!A15</f>
        <v>Mum_Arun Kumar (1008525)</v>
      </c>
      <c r="B15" t="str">
        <f t="shared" si="2"/>
        <v>Arun Kumar</v>
      </c>
      <c r="C15" s="10">
        <f t="shared" si="3"/>
        <v>0.33321759259259259</v>
      </c>
      <c r="D15" s="10">
        <f t="shared" si="4"/>
        <v>0.19475694444444444</v>
      </c>
      <c r="E15" s="10">
        <f t="shared" si="0"/>
        <v>4.9004629629629627E-2</v>
      </c>
      <c r="F15">
        <f t="shared" si="1"/>
        <v>65</v>
      </c>
      <c r="G15" s="12">
        <f t="shared" si="5"/>
        <v>0.51396318166029897</v>
      </c>
      <c r="H15">
        <v>1008525</v>
      </c>
      <c r="I15" t="str" cm="1">
        <f t="array" ref="I15">_xlfn.SWITCH(LEFT(A15,FIND("_",A15)-1),
"Mum","Mumbai",
"Hyd","Hyderabad",
"Del","Delhi",
"Ban","Bangalore",
"Che","Chennai",
"Pun","Pune",
"Kol","Kolkata",
"Unknown")</f>
        <v>Mumbai</v>
      </c>
    </row>
    <row r="16" spans="1:12" x14ac:dyDescent="0.3">
      <c r="A16" t="str">
        <f>Breaktime!A16</f>
        <v>Mum_Ashish Kumar (1008526)</v>
      </c>
      <c r="B16" t="str">
        <f t="shared" si="2"/>
        <v>Ashish Kumar</v>
      </c>
      <c r="C16" s="10">
        <f t="shared" si="3"/>
        <v>0.34512731481481479</v>
      </c>
      <c r="D16" s="10">
        <f t="shared" si="4"/>
        <v>0.2066550925925926</v>
      </c>
      <c r="E16" s="10">
        <f t="shared" si="0"/>
        <v>5.3460648148148146E-2</v>
      </c>
      <c r="F16">
        <f t="shared" si="1"/>
        <v>83</v>
      </c>
      <c r="G16" s="12">
        <f t="shared" si="5"/>
        <v>0.510580502364264</v>
      </c>
      <c r="H16">
        <v>1008526</v>
      </c>
      <c r="I16" t="str" cm="1">
        <f t="array" ref="I16">_xlfn.SWITCH(LEFT(A16,FIND("_",A16)-1),
"Mum","Mumbai",
"Hyd","Hyderabad",
"Del","Delhi",
"Ban","Bangalore",
"Che","Chennai",
"Pun","Pune",
"Kol","Kolkata",
"Unknown")</f>
        <v>Mumbai</v>
      </c>
    </row>
    <row r="17" spans="1:9" x14ac:dyDescent="0.3">
      <c r="A17" t="str">
        <f>Breaktime!A17</f>
        <v>Mum_Ashok Kumar (1008527)</v>
      </c>
      <c r="B17" t="str">
        <f t="shared" si="2"/>
        <v>Ashok Kumar</v>
      </c>
      <c r="C17" s="10">
        <f t="shared" si="3"/>
        <v>0.34531250000000002</v>
      </c>
      <c r="D17" s="10">
        <f t="shared" si="4"/>
        <v>0.17390046296296297</v>
      </c>
      <c r="E17" s="10">
        <f t="shared" si="0"/>
        <v>0.10023148148148148</v>
      </c>
      <c r="F17">
        <f t="shared" si="1"/>
        <v>82</v>
      </c>
      <c r="G17" s="12">
        <f t="shared" si="5"/>
        <v>0.48292274174627098</v>
      </c>
      <c r="H17">
        <v>1008527</v>
      </c>
      <c r="I17" t="str" cm="1">
        <f t="array" ref="I17">_xlfn.SWITCH(LEFT(A17,FIND("_",A17)-1),
"Mum","Mumbai",
"Hyd","Hyderabad",
"Del","Delhi",
"Ban","Bangalore",
"Che","Chennai",
"Pun","Pune",
"Kol","Kolkata",
"Unknown")</f>
        <v>Mumbai</v>
      </c>
    </row>
    <row r="18" spans="1:9" x14ac:dyDescent="0.3">
      <c r="A18" t="str">
        <f>Breaktime!A18</f>
        <v>Hyd_Ashok Kumar (1008528)</v>
      </c>
      <c r="B18" t="str">
        <f t="shared" si="2"/>
        <v>Ashok Kumar</v>
      </c>
      <c r="C18" s="10">
        <f t="shared" si="3"/>
        <v>0.32848379629629632</v>
      </c>
      <c r="D18" s="10">
        <f t="shared" si="4"/>
        <v>0.1973611111111111</v>
      </c>
      <c r="E18" s="10">
        <f t="shared" si="0"/>
        <v>3.9224537037037037E-2</v>
      </c>
      <c r="F18">
        <f t="shared" si="1"/>
        <v>81</v>
      </c>
      <c r="G18" s="12">
        <f t="shared" si="5"/>
        <v>0.57362319861879396</v>
      </c>
      <c r="H18">
        <v>1008528</v>
      </c>
      <c r="I18" t="str" cm="1">
        <f t="array" ref="I18">_xlfn.SWITCH(LEFT(A18,FIND("_",A18)-1),
"Mum","Mumbai",
"Hyd","Hyderabad",
"Del","Delhi",
"Ban","Bangalore",
"Che","Chennai",
"Pun","Pune",
"Kol","Kolkata",
"Unknown")</f>
        <v>Hyderabad</v>
      </c>
    </row>
    <row r="19" spans="1:9" x14ac:dyDescent="0.3">
      <c r="A19" t="str">
        <f>Breaktime!A19</f>
        <v>Hyd_Ashok Kumar (1008529)</v>
      </c>
      <c r="B19" t="str">
        <f t="shared" si="2"/>
        <v>Ashok Kumar</v>
      </c>
      <c r="C19" s="10">
        <f t="shared" si="3"/>
        <v>0.34494212962962961</v>
      </c>
      <c r="D19" s="10">
        <f t="shared" si="4"/>
        <v>0.20702546296296295</v>
      </c>
      <c r="E19" s="10">
        <f t="shared" si="0"/>
        <v>4.8692129629629627E-2</v>
      </c>
      <c r="F19">
        <f t="shared" si="1"/>
        <v>80</v>
      </c>
      <c r="G19" s="12">
        <f t="shared" si="5"/>
        <v>0.56430560681810604</v>
      </c>
      <c r="H19">
        <v>1008529</v>
      </c>
      <c r="I19" t="str" cm="1">
        <f t="array" ref="I19">_xlfn.SWITCH(LEFT(A19,FIND("_",A19)-1),
"Mum","Mumbai",
"Hyd","Hyderabad",
"Del","Delhi",
"Ban","Bangalore",
"Che","Chennai",
"Pun","Pune",
"Kol","Kolkata",
"Unknown")</f>
        <v>Hyderabad</v>
      </c>
    </row>
    <row r="20" spans="1:9" x14ac:dyDescent="0.3">
      <c r="A20" t="str">
        <f>Breaktime!A20</f>
        <v>Hyd_Ashok Kumar (1008530)</v>
      </c>
      <c r="B20" t="str">
        <f t="shared" si="2"/>
        <v>Ashok Kumar</v>
      </c>
      <c r="C20" s="10">
        <f t="shared" si="3"/>
        <v>0.34810185185185183</v>
      </c>
      <c r="D20" s="10">
        <f t="shared" si="4"/>
        <v>0.18267361111111111</v>
      </c>
      <c r="E20" s="10">
        <f t="shared" si="0"/>
        <v>0.11122685185185185</v>
      </c>
      <c r="F20">
        <f t="shared" si="1"/>
        <v>79</v>
      </c>
      <c r="G20" s="12">
        <f t="shared" si="5"/>
        <v>0.46974331693044302</v>
      </c>
      <c r="H20">
        <v>1008530</v>
      </c>
      <c r="I20" t="str" cm="1">
        <f t="array" ref="I20">_xlfn.SWITCH(LEFT(A20,FIND("_",A20)-1),
"Mum","Mumbai",
"Hyd","Hyderabad",
"Del","Delhi",
"Ban","Bangalore",
"Che","Chennai",
"Pun","Pune",
"Kol","Kolkata",
"Unknown")</f>
        <v>Hyderabad</v>
      </c>
    </row>
    <row r="21" spans="1:9" x14ac:dyDescent="0.3">
      <c r="A21" t="str">
        <f>Breaktime!A21</f>
        <v>Hyd_Ashok Mahto (1008531)</v>
      </c>
      <c r="B21" t="str">
        <f t="shared" si="2"/>
        <v>Ashok Mahto</v>
      </c>
      <c r="C21" s="10">
        <f t="shared" si="3"/>
        <v>0.34574074074074074</v>
      </c>
      <c r="D21" s="10">
        <f t="shared" si="4"/>
        <v>0.20710648148148147</v>
      </c>
      <c r="E21" s="10">
        <f t="shared" si="0"/>
        <v>5.1736111111111108E-2</v>
      </c>
      <c r="F21">
        <f t="shared" si="1"/>
        <v>78</v>
      </c>
      <c r="G21" s="12">
        <f t="shared" si="5"/>
        <v>0.57495313336904097</v>
      </c>
      <c r="H21">
        <v>1008531</v>
      </c>
      <c r="I21" t="str" cm="1">
        <f t="array" ref="I21">_xlfn.SWITCH(LEFT(A21,FIND("_",A21)-1),
"Mum","Mumbai",
"Hyd","Hyderabad",
"Del","Delhi",
"Ban","Bangalore",
"Che","Chennai",
"Pun","Pune",
"Kol","Kolkata",
"Unknown")</f>
        <v>Hyderabad</v>
      </c>
    </row>
    <row r="22" spans="1:9" x14ac:dyDescent="0.3">
      <c r="A22" t="str">
        <f>Breaktime!A22</f>
        <v>Hyd_Atul Kumar (1008532)</v>
      </c>
      <c r="B22" t="str">
        <f t="shared" si="2"/>
        <v>Atul Kumar</v>
      </c>
      <c r="C22" s="10">
        <f t="shared" si="3"/>
        <v>0.34283564814814815</v>
      </c>
      <c r="D22" s="10">
        <f t="shared" si="4"/>
        <v>0.20393518518518519</v>
      </c>
      <c r="E22" s="10">
        <f t="shared" si="0"/>
        <v>4.6516203703703705E-2</v>
      </c>
      <c r="F22">
        <f t="shared" si="1"/>
        <v>77</v>
      </c>
      <c r="G22" s="12">
        <f t="shared" si="5"/>
        <v>0.57945376590932096</v>
      </c>
      <c r="H22">
        <v>1008532</v>
      </c>
      <c r="I22" t="str" cm="1">
        <f t="array" ref="I22">_xlfn.SWITCH(LEFT(A22,FIND("_",A22)-1),
"Mum","Mumbai",
"Hyd","Hyderabad",
"Del","Delhi",
"Ban","Bangalore",
"Che","Chennai",
"Pun","Pune",
"Kol","Kolkata",
"Unknown")</f>
        <v>Hyderabad</v>
      </c>
    </row>
    <row r="23" spans="1:9" x14ac:dyDescent="0.3">
      <c r="A23" t="str">
        <f>Breaktime!A23</f>
        <v>Hyd_Azam (1008533)</v>
      </c>
      <c r="B23" t="str">
        <f t="shared" si="2"/>
        <v>Azam</v>
      </c>
      <c r="C23" s="10">
        <f t="shared" si="3"/>
        <v>0.34553240740740743</v>
      </c>
      <c r="D23" s="10">
        <f t="shared" si="4"/>
        <v>0.20821759259259259</v>
      </c>
      <c r="E23" s="10">
        <f t="shared" si="0"/>
        <v>4.8460648148148149E-2</v>
      </c>
      <c r="F23">
        <f t="shared" si="1"/>
        <v>76</v>
      </c>
      <c r="G23" s="12">
        <f t="shared" si="5"/>
        <v>0.588296375695049</v>
      </c>
      <c r="H23">
        <v>1008533</v>
      </c>
      <c r="I23" t="str" cm="1">
        <f t="array" ref="I23">_xlfn.SWITCH(LEFT(A23,FIND("_",A23)-1),
"Mum","Mumbai",
"Hyd","Hyderabad",
"Del","Delhi",
"Ban","Bangalore",
"Che","Chennai",
"Pun","Pune",
"Kol","Kolkata",
"Unknown")</f>
        <v>Hyderabad</v>
      </c>
    </row>
    <row r="24" spans="1:9" x14ac:dyDescent="0.3">
      <c r="A24" t="str">
        <f>Breaktime!A24</f>
        <v>Hyd_Bhagwat Singh (1008534)</v>
      </c>
      <c r="B24" t="str">
        <f t="shared" si="2"/>
        <v>Bhagwat Singh</v>
      </c>
      <c r="C24" s="10">
        <f t="shared" si="3"/>
        <v>0.32064814814814813</v>
      </c>
      <c r="D24" s="10">
        <f t="shared" si="4"/>
        <v>0.17288194444444444</v>
      </c>
      <c r="E24" s="10">
        <f t="shared" si="0"/>
        <v>9.0486111111111114E-2</v>
      </c>
      <c r="F24">
        <f t="shared" si="1"/>
        <v>75</v>
      </c>
      <c r="G24" s="12">
        <f t="shared" si="5"/>
        <v>0.46267686976609901</v>
      </c>
      <c r="H24">
        <v>1008534</v>
      </c>
      <c r="I24" t="str" cm="1">
        <f t="array" ref="I24">_xlfn.SWITCH(LEFT(A24,FIND("_",A24)-1),
"Mum","Mumbai",
"Hyd","Hyderabad",
"Del","Delhi",
"Ban","Bangalore",
"Che","Chennai",
"Pun","Pune",
"Kol","Kolkata",
"Unknown")</f>
        <v>Hyderabad</v>
      </c>
    </row>
    <row r="25" spans="1:9" x14ac:dyDescent="0.3">
      <c r="A25" t="str">
        <f>Breaktime!A25</f>
        <v>Hyd_Bindu Nair (1008535)</v>
      </c>
      <c r="B25" t="str">
        <f t="shared" si="2"/>
        <v>Bindu Nair</v>
      </c>
      <c r="C25" s="10">
        <f t="shared" si="3"/>
        <v>0.34032407407407406</v>
      </c>
      <c r="D25" s="10">
        <f t="shared" si="4"/>
        <v>0.17644675925925926</v>
      </c>
      <c r="E25" s="10">
        <f t="shared" si="0"/>
        <v>9.1168981481481476E-2</v>
      </c>
      <c r="F25">
        <f t="shared" si="1"/>
        <v>74</v>
      </c>
      <c r="G25" s="12">
        <f t="shared" si="5"/>
        <v>0.478030199972793</v>
      </c>
      <c r="H25">
        <v>1008535</v>
      </c>
      <c r="I25" t="str" cm="1">
        <f t="array" ref="I25">_xlfn.SWITCH(LEFT(A25,FIND("_",A25)-1),
"Mum","Mumbai",
"Hyd","Hyderabad",
"Del","Delhi",
"Ban","Bangalore",
"Che","Chennai",
"Pun","Pune",
"Kol","Kolkata",
"Unknown")</f>
        <v>Hyderabad</v>
      </c>
    </row>
    <row r="26" spans="1:9" x14ac:dyDescent="0.3">
      <c r="A26" t="str">
        <f>Breaktime!A26</f>
        <v>Hyd_Daleep Singh (1008536)</v>
      </c>
      <c r="B26" t="str">
        <f t="shared" si="2"/>
        <v>Daleep Singh</v>
      </c>
      <c r="C26" s="10">
        <f t="shared" si="3"/>
        <v>0.34328703703703706</v>
      </c>
      <c r="D26" s="10">
        <f t="shared" si="4"/>
        <v>0.22703703703703704</v>
      </c>
      <c r="E26" s="10">
        <f t="shared" si="0"/>
        <v>5.0625000000000003E-2</v>
      </c>
      <c r="F26">
        <f t="shared" si="1"/>
        <v>73</v>
      </c>
      <c r="G26" s="12">
        <f t="shared" si="5"/>
        <v>0.59983142279163904</v>
      </c>
      <c r="H26">
        <v>1008536</v>
      </c>
      <c r="I26" t="str" cm="1">
        <f t="array" ref="I26">_xlfn.SWITCH(LEFT(A26,FIND("_",A26)-1),
"Mum","Mumbai",
"Hyd","Hyderabad",
"Del","Delhi",
"Ban","Bangalore",
"Che","Chennai",
"Pun","Pune",
"Kol","Kolkata",
"Unknown")</f>
        <v>Hyderabad</v>
      </c>
    </row>
    <row r="27" spans="1:9" x14ac:dyDescent="0.3">
      <c r="A27" t="str">
        <f>Breaktime!A27</f>
        <v>Hyd_Deepak Kumar (1008537)</v>
      </c>
      <c r="B27" t="str">
        <f t="shared" si="2"/>
        <v>Deepak Kumar</v>
      </c>
      <c r="C27" s="10">
        <f t="shared" si="3"/>
        <v>0.31663194444444442</v>
      </c>
      <c r="D27" s="10">
        <f t="shared" si="4"/>
        <v>0.21199074074074073</v>
      </c>
      <c r="E27" s="10">
        <f t="shared" si="0"/>
        <v>2.1180555555555557E-2</v>
      </c>
      <c r="F27">
        <f t="shared" si="1"/>
        <v>72</v>
      </c>
      <c r="G27" s="12">
        <f t="shared" si="5"/>
        <v>0.65029060203969702</v>
      </c>
      <c r="H27">
        <v>1008537</v>
      </c>
      <c r="I27" t="str" cm="1">
        <f t="array" ref="I27">_xlfn.SWITCH(LEFT(A27,FIND("_",A27)-1),
"Mum","Mumbai",
"Hyd","Hyderabad",
"Del","Delhi",
"Ban","Bangalore",
"Che","Chennai",
"Pun","Pune",
"Kol","Kolkata",
"Unknown")</f>
        <v>Hyderabad</v>
      </c>
    </row>
    <row r="28" spans="1:9" x14ac:dyDescent="0.3">
      <c r="A28" t="str">
        <f>Breaktime!A28</f>
        <v>Hyd_Deepika Nigam (1008538)</v>
      </c>
      <c r="B28" t="str">
        <f t="shared" si="2"/>
        <v>Deepika Nigam</v>
      </c>
      <c r="C28" s="10">
        <f t="shared" si="3"/>
        <v>0.34512731481481479</v>
      </c>
      <c r="D28" s="10">
        <f t="shared" si="4"/>
        <v>0.20607638888888888</v>
      </c>
      <c r="E28" s="10">
        <f t="shared" si="0"/>
        <v>4.9768518518518517E-2</v>
      </c>
      <c r="F28">
        <f t="shared" si="1"/>
        <v>71</v>
      </c>
      <c r="G28" s="12">
        <f t="shared" si="5"/>
        <v>0.55001844461584903</v>
      </c>
      <c r="H28">
        <v>1008538</v>
      </c>
      <c r="I28" t="str" cm="1">
        <f t="array" ref="I28">_xlfn.SWITCH(LEFT(A28,FIND("_",A28)-1),
"Mum","Mumbai",
"Hyd","Hyderabad",
"Del","Delhi",
"Ban","Bangalore",
"Che","Chennai",
"Pun","Pune",
"Kol","Kolkata",
"Unknown")</f>
        <v>Hyderabad</v>
      </c>
    </row>
    <row r="29" spans="1:9" x14ac:dyDescent="0.3">
      <c r="A29" t="str">
        <f>Breaktime!A29</f>
        <v>Hyd_Dinesh Kumar (1008539)</v>
      </c>
      <c r="B29" t="str">
        <f t="shared" si="2"/>
        <v>Dinesh Kumar</v>
      </c>
      <c r="C29" s="10">
        <f t="shared" si="3"/>
        <v>0.34297453703703706</v>
      </c>
      <c r="D29" s="10">
        <f t="shared" si="4"/>
        <v>0.21273148148148149</v>
      </c>
      <c r="E29" s="10">
        <f t="shared" si="0"/>
        <v>4.8645833333333333E-2</v>
      </c>
      <c r="F29">
        <f t="shared" si="1"/>
        <v>70</v>
      </c>
      <c r="G29" s="12">
        <f t="shared" si="5"/>
        <v>0.51334660682347399</v>
      </c>
      <c r="H29">
        <v>1008539</v>
      </c>
      <c r="I29" t="str" cm="1">
        <f t="array" ref="I29">_xlfn.SWITCH(LEFT(A29,FIND("_",A29)-1),
"Mum","Mumbai",
"Hyd","Hyderabad",
"Del","Delhi",
"Ban","Bangalore",
"Che","Chennai",
"Pun","Pune",
"Kol","Kolkata",
"Unknown")</f>
        <v>Hyderabad</v>
      </c>
    </row>
    <row r="30" spans="1:9" x14ac:dyDescent="0.3">
      <c r="A30" t="str">
        <f>Breaktime!A30</f>
        <v>Hyd_Hari Kumar (1008540)</v>
      </c>
      <c r="B30" t="str">
        <f t="shared" si="2"/>
        <v>Hari Kumar</v>
      </c>
      <c r="C30" s="10">
        <f t="shared" si="3"/>
        <v>0.34387731481481482</v>
      </c>
      <c r="D30" s="10">
        <f t="shared" si="4"/>
        <v>0.17480324074074075</v>
      </c>
      <c r="E30" s="10">
        <f t="shared" si="0"/>
        <v>0.11449074074074074</v>
      </c>
      <c r="F30">
        <f t="shared" si="1"/>
        <v>69</v>
      </c>
      <c r="G30" s="12">
        <f t="shared" si="5"/>
        <v>0.43603379219817601</v>
      </c>
      <c r="H30">
        <v>1008540</v>
      </c>
      <c r="I30" t="str" cm="1">
        <f t="array" ref="I30">_xlfn.SWITCH(LEFT(A30,FIND("_",A30)-1),
"Mum","Mumbai",
"Hyd","Hyderabad",
"Del","Delhi",
"Ban","Bangalore",
"Che","Chennai",
"Pun","Pune",
"Kol","Kolkata",
"Unknown")</f>
        <v>Hyderabad</v>
      </c>
    </row>
    <row r="31" spans="1:9" x14ac:dyDescent="0.3">
      <c r="A31" t="str">
        <f>Breaktime!A31</f>
        <v>Hyd_Heeramani Choudhary (1008541)</v>
      </c>
      <c r="B31" t="str">
        <f t="shared" si="2"/>
        <v>Heeramani Choudhary</v>
      </c>
      <c r="C31" s="10">
        <f t="shared" si="3"/>
        <v>0.31069444444444444</v>
      </c>
      <c r="D31" s="10">
        <f t="shared" si="4"/>
        <v>0.1912962962962963</v>
      </c>
      <c r="E31" s="10">
        <f t="shared" si="0"/>
        <v>5.5787037037037038E-2</v>
      </c>
      <c r="F31">
        <f t="shared" si="1"/>
        <v>68</v>
      </c>
      <c r="G31" s="12">
        <f t="shared" si="5"/>
        <v>0.52954105200417201</v>
      </c>
      <c r="H31">
        <v>1008541</v>
      </c>
      <c r="I31" t="str" cm="1">
        <f t="array" ref="I31">_xlfn.SWITCH(LEFT(A31,FIND("_",A31)-1),
"Mum","Mumbai",
"Hyd","Hyderabad",
"Del","Delhi",
"Ban","Bangalore",
"Che","Chennai",
"Pun","Pune",
"Kol","Kolkata",
"Unknown")</f>
        <v>Hyderabad</v>
      </c>
    </row>
    <row r="32" spans="1:9" x14ac:dyDescent="0.3">
      <c r="A32" t="str">
        <f>Breaktime!A32</f>
        <v>Hyd_Indra Pal (1008542)</v>
      </c>
      <c r="B32" t="str">
        <f t="shared" si="2"/>
        <v>Indra Pal</v>
      </c>
      <c r="C32" s="10">
        <f t="shared" si="3"/>
        <v>0.33329861111111109</v>
      </c>
      <c r="D32" s="10">
        <f t="shared" si="4"/>
        <v>0.21824074074074074</v>
      </c>
      <c r="E32" s="10">
        <f t="shared" si="0"/>
        <v>4.809027777777778E-2</v>
      </c>
      <c r="F32">
        <f t="shared" si="1"/>
        <v>67</v>
      </c>
      <c r="G32" s="12">
        <f t="shared" si="5"/>
        <v>0.56446852102649603</v>
      </c>
      <c r="H32">
        <v>1008542</v>
      </c>
      <c r="I32" t="str" cm="1">
        <f t="array" ref="I32">_xlfn.SWITCH(LEFT(A32,FIND("_",A32)-1),
"Mum","Mumbai",
"Hyd","Hyderabad",
"Del","Delhi",
"Ban","Bangalore",
"Che","Chennai",
"Pun","Pune",
"Kol","Kolkata",
"Unknown")</f>
        <v>Hyderabad</v>
      </c>
    </row>
    <row r="33" spans="1:9" x14ac:dyDescent="0.3">
      <c r="A33" t="str">
        <f>Breaktime!A33</f>
        <v>Hyd_Indra Singh (1008543)</v>
      </c>
      <c r="B33" t="str">
        <f t="shared" si="2"/>
        <v>Indra Singh</v>
      </c>
      <c r="C33" s="10">
        <f t="shared" si="3"/>
        <v>0.34564814814814815</v>
      </c>
      <c r="D33" s="10">
        <f t="shared" si="4"/>
        <v>0.21184027777777778</v>
      </c>
      <c r="E33" s="10">
        <f t="shared" si="0"/>
        <v>8.9745370370370364E-2</v>
      </c>
      <c r="F33">
        <f t="shared" si="1"/>
        <v>66</v>
      </c>
      <c r="G33" s="12">
        <f t="shared" si="5"/>
        <v>0.49789043664612898</v>
      </c>
      <c r="H33">
        <v>1008543</v>
      </c>
      <c r="I33" t="str" cm="1">
        <f t="array" ref="I33">_xlfn.SWITCH(LEFT(A33,FIND("_",A33)-1),
"Mum","Mumbai",
"Hyd","Hyderabad",
"Del","Delhi",
"Ban","Bangalore",
"Che","Chennai",
"Pun","Pune",
"Kol","Kolkata",
"Unknown")</f>
        <v>Hyderabad</v>
      </c>
    </row>
    <row r="34" spans="1:9" x14ac:dyDescent="0.3">
      <c r="A34" t="str">
        <f>Breaktime!A34</f>
        <v>Hyd_Jagdish Chandra (1008544)</v>
      </c>
      <c r="B34" t="str">
        <f t="shared" si="2"/>
        <v>Jagdish Chandra</v>
      </c>
      <c r="C34" s="10">
        <f t="shared" ref="C34:C65" si="6">TIMEVALUE(VLOOKUP(A34,Edata,2,FALSE))</f>
        <v>0.34664351851851855</v>
      </c>
      <c r="D34" s="10">
        <f t="shared" ref="D34:D65" si="7">TIMEVALUE(VLOOKUP(A34,Edata,3,FALSE))</f>
        <v>0.20781250000000001</v>
      </c>
      <c r="E34" s="10">
        <f t="shared" ref="E34:E65" si="8">TIMEVALUE(VLOOKUP(A34,Bdata,9,FALSE))</f>
        <v>4.7951388888888891E-2</v>
      </c>
      <c r="F34">
        <f t="shared" ref="F34:F65" si="9">VLOOKUP(A34,Odata,2,FALSE)</f>
        <v>65</v>
      </c>
      <c r="G34" s="12">
        <f t="shared" ref="G34:G65" si="10">VLOOKUP(A34,Edata,6,FALSE)</f>
        <v>0.56270450751252099</v>
      </c>
      <c r="H34">
        <v>1008544</v>
      </c>
      <c r="I34" t="str" cm="1">
        <f t="array" ref="I34">_xlfn.SWITCH(LEFT(A34,FIND("_",A34)-1),
"Mum","Mumbai",
"Hyd","Hyderabad",
"Del","Delhi",
"Ban","Bangalore",
"Che","Chennai",
"Pun","Pune",
"Kol","Kolkata",
"Unknown")</f>
        <v>Hyderabad</v>
      </c>
    </row>
    <row r="35" spans="1:9" x14ac:dyDescent="0.3">
      <c r="A35" t="str">
        <f>Breaktime!A35</f>
        <v>Hyd_Jairaj Vatham (1008545)</v>
      </c>
      <c r="B35" t="str">
        <f t="shared" si="2"/>
        <v>Jairaj Vatham</v>
      </c>
      <c r="C35" s="10">
        <f t="shared" si="6"/>
        <v>0.34471064814814817</v>
      </c>
      <c r="D35" s="10">
        <f t="shared" si="7"/>
        <v>0.20981481481481482</v>
      </c>
      <c r="E35" s="10">
        <f t="shared" si="8"/>
        <v>4.8564814814814818E-2</v>
      </c>
      <c r="F35">
        <f t="shared" si="9"/>
        <v>64</v>
      </c>
      <c r="G35" s="12">
        <f t="shared" si="10"/>
        <v>0.57680556021891705</v>
      </c>
      <c r="H35">
        <v>1008545</v>
      </c>
      <c r="I35" t="str" cm="1">
        <f t="array" ref="I35">_xlfn.SWITCH(LEFT(A35,FIND("_",A35)-1),
"Mum","Mumbai",
"Hyd","Hyderabad",
"Del","Delhi",
"Ban","Bangalore",
"Che","Chennai",
"Pun","Pune",
"Kol","Kolkata",
"Unknown")</f>
        <v>Hyderabad</v>
      </c>
    </row>
    <row r="36" spans="1:9" x14ac:dyDescent="0.3">
      <c r="A36" t="str">
        <f>Breaktime!A36</f>
        <v>Hyd_Janardan Mishra (1008546)</v>
      </c>
      <c r="B36" t="str">
        <f t="shared" si="2"/>
        <v>Janardan Mishra</v>
      </c>
      <c r="C36" s="10">
        <f t="shared" si="6"/>
        <v>0.31923611111111111</v>
      </c>
      <c r="D36" s="10">
        <f t="shared" si="7"/>
        <v>0.18953703703703703</v>
      </c>
      <c r="E36" s="10">
        <f t="shared" si="8"/>
        <v>6.1215277777777778E-2</v>
      </c>
      <c r="F36">
        <f t="shared" si="9"/>
        <v>63</v>
      </c>
      <c r="G36" s="12">
        <f t="shared" si="10"/>
        <v>0.55728373576970502</v>
      </c>
      <c r="H36">
        <v>1008546</v>
      </c>
      <c r="I36" t="str" cm="1">
        <f t="array" ref="I36">_xlfn.SWITCH(LEFT(A36,FIND("_",A36)-1),
"Mum","Mumbai",
"Hyd","Hyderabad",
"Del","Delhi",
"Ban","Bangalore",
"Che","Chennai",
"Pun","Pune",
"Kol","Kolkata",
"Unknown")</f>
        <v>Hyderabad</v>
      </c>
    </row>
    <row r="37" spans="1:9" x14ac:dyDescent="0.3">
      <c r="A37" t="str">
        <f>Breaktime!A37</f>
        <v>Hyd_Jitendra Kumar (1008547)</v>
      </c>
      <c r="B37" t="str">
        <f t="shared" si="2"/>
        <v>Jitendra Kumar</v>
      </c>
      <c r="C37" s="10">
        <f t="shared" si="6"/>
        <v>0.34128472222222223</v>
      </c>
      <c r="D37" s="10">
        <f t="shared" si="7"/>
        <v>0.17200231481481482</v>
      </c>
      <c r="E37" s="10">
        <f t="shared" si="8"/>
        <v>0.10777777777777778</v>
      </c>
      <c r="F37">
        <f t="shared" si="9"/>
        <v>62</v>
      </c>
      <c r="G37" s="12">
        <f t="shared" si="10"/>
        <v>0.47590463594126198</v>
      </c>
      <c r="H37">
        <v>1008547</v>
      </c>
      <c r="I37" t="str" cm="1">
        <f t="array" ref="I37">_xlfn.SWITCH(LEFT(A37,FIND("_",A37)-1),
"Mum","Mumbai",
"Hyd","Hyderabad",
"Del","Delhi",
"Ban","Bangalore",
"Che","Chennai",
"Pun","Pune",
"Kol","Kolkata",
"Unknown")</f>
        <v>Hyderabad</v>
      </c>
    </row>
    <row r="38" spans="1:9" x14ac:dyDescent="0.3">
      <c r="A38" t="str">
        <f>Breaktime!A38</f>
        <v>Hyd_John D'Costa (1008548)</v>
      </c>
      <c r="B38" t="str">
        <f t="shared" si="2"/>
        <v>John D'Costa</v>
      </c>
      <c r="C38" s="10">
        <f t="shared" si="6"/>
        <v>0.34012731481481484</v>
      </c>
      <c r="D38" s="10">
        <f t="shared" si="7"/>
        <v>0.20243055555555556</v>
      </c>
      <c r="E38" s="10">
        <f t="shared" si="8"/>
        <v>4.8333333333333332E-2</v>
      </c>
      <c r="F38">
        <f t="shared" si="9"/>
        <v>61</v>
      </c>
      <c r="G38" s="12">
        <f t="shared" si="10"/>
        <v>0.55636846224520997</v>
      </c>
      <c r="H38">
        <v>1008548</v>
      </c>
      <c r="I38" t="str" cm="1">
        <f t="array" ref="I38">_xlfn.SWITCH(LEFT(A38,FIND("_",A38)-1),
"Mum","Mumbai",
"Hyd","Hyderabad",
"Del","Delhi",
"Ban","Bangalore",
"Che","Chennai",
"Pun","Pune",
"Kol","Kolkata",
"Unknown")</f>
        <v>Hyderabad</v>
      </c>
    </row>
    <row r="39" spans="1:9" x14ac:dyDescent="0.3">
      <c r="A39" t="str">
        <f>Breaktime!A39</f>
        <v>Hyd_Julie S (1008549)</v>
      </c>
      <c r="B39" t="str">
        <f t="shared" si="2"/>
        <v>Julie S</v>
      </c>
      <c r="C39" s="10">
        <f t="shared" si="6"/>
        <v>0.3442824074074074</v>
      </c>
      <c r="D39" s="10">
        <f t="shared" si="7"/>
        <v>0.20569444444444446</v>
      </c>
      <c r="E39" s="10">
        <f t="shared" si="8"/>
        <v>4.912037037037037E-2</v>
      </c>
      <c r="F39">
        <f t="shared" si="9"/>
        <v>60</v>
      </c>
      <c r="G39" s="12">
        <f t="shared" si="10"/>
        <v>0.527970147246689</v>
      </c>
      <c r="H39">
        <v>1008549</v>
      </c>
      <c r="I39" t="str" cm="1">
        <f t="array" ref="I39">_xlfn.SWITCH(LEFT(A39,FIND("_",A39)-1),
"Mum","Mumbai",
"Hyd","Hyderabad",
"Del","Delhi",
"Ban","Bangalore",
"Che","Chennai",
"Pun","Pune",
"Kol","Kolkata",
"Unknown")</f>
        <v>Hyderabad</v>
      </c>
    </row>
    <row r="40" spans="1:9" x14ac:dyDescent="0.3">
      <c r="A40" t="str">
        <f>Breaktime!A40</f>
        <v>Hyd_Jyoti Tulsani (1008550)</v>
      </c>
      <c r="B40" t="str">
        <f t="shared" si="2"/>
        <v>Jyoti Tulsani</v>
      </c>
      <c r="C40" s="10">
        <f t="shared" si="6"/>
        <v>0.3439699074074074</v>
      </c>
      <c r="D40" s="10">
        <f t="shared" si="7"/>
        <v>0.20620370370370369</v>
      </c>
      <c r="E40" s="10">
        <f t="shared" si="8"/>
        <v>4.8923611111111112E-2</v>
      </c>
      <c r="F40">
        <f t="shared" si="9"/>
        <v>59</v>
      </c>
      <c r="G40" s="12">
        <f t="shared" si="10"/>
        <v>0.565025741108382</v>
      </c>
      <c r="H40">
        <v>1008550</v>
      </c>
      <c r="I40" t="str" cm="1">
        <f t="array" ref="I40">_xlfn.SWITCH(LEFT(A40,FIND("_",A40)-1),
"Mum","Mumbai",
"Hyd","Hyderabad",
"Del","Delhi",
"Ban","Bangalore",
"Che","Chennai",
"Pun","Pune",
"Kol","Kolkata",
"Unknown")</f>
        <v>Hyderabad</v>
      </c>
    </row>
    <row r="41" spans="1:9" x14ac:dyDescent="0.3">
      <c r="A41" t="str">
        <f>Breaktime!A41</f>
        <v>Hyd_Kahkasha Parveen (1008551)</v>
      </c>
      <c r="B41" t="str">
        <f t="shared" si="2"/>
        <v>Kahkasha Parveen</v>
      </c>
      <c r="C41" s="10">
        <f t="shared" si="6"/>
        <v>0.34541666666666665</v>
      </c>
      <c r="D41" s="10">
        <f t="shared" si="7"/>
        <v>0.22590277777777779</v>
      </c>
      <c r="E41" s="10">
        <f t="shared" si="8"/>
        <v>4.8750000000000002E-2</v>
      </c>
      <c r="F41">
        <f t="shared" si="9"/>
        <v>58</v>
      </c>
      <c r="G41" s="12">
        <f t="shared" si="10"/>
        <v>0.48579278917035301</v>
      </c>
      <c r="H41">
        <v>1008551</v>
      </c>
      <c r="I41" t="str" cm="1">
        <f t="array" ref="I41">_xlfn.SWITCH(LEFT(A41,FIND("_",A41)-1),
"Mum","Mumbai",
"Hyd","Hyderabad",
"Del","Delhi",
"Ban","Bangalore",
"Che","Chennai",
"Pun","Pune",
"Kol","Kolkata",
"Unknown")</f>
        <v>Hyderabad</v>
      </c>
    </row>
    <row r="42" spans="1:9" x14ac:dyDescent="0.3">
      <c r="A42" t="str">
        <f>Breaktime!A42</f>
        <v>Hyd_Kailash Nath (1008552)</v>
      </c>
      <c r="B42" t="str">
        <f t="shared" si="2"/>
        <v>Kailash Nath</v>
      </c>
      <c r="C42" s="10">
        <f t="shared" si="6"/>
        <v>0.34445601851851854</v>
      </c>
      <c r="D42" s="10">
        <f t="shared" si="7"/>
        <v>0.20725694444444445</v>
      </c>
      <c r="E42" s="10">
        <f t="shared" si="8"/>
        <v>4.6990740740740743E-2</v>
      </c>
      <c r="F42">
        <f t="shared" si="9"/>
        <v>57</v>
      </c>
      <c r="G42" s="12">
        <f t="shared" si="10"/>
        <v>0.572258996673499</v>
      </c>
      <c r="H42">
        <v>1008552</v>
      </c>
      <c r="I42" t="str" cm="1">
        <f t="array" ref="I42">_xlfn.SWITCH(LEFT(A42,FIND("_",A42)-1),
"Mum","Mumbai",
"Hyd","Hyderabad",
"Del","Delhi",
"Ban","Bangalore",
"Che","Chennai",
"Pun","Pune",
"Kol","Kolkata",
"Unknown")</f>
        <v>Hyderabad</v>
      </c>
    </row>
    <row r="43" spans="1:9" x14ac:dyDescent="0.3">
      <c r="A43" t="str">
        <f>Breaktime!A43</f>
        <v>Hyd_Kalpana Agrawal (1008553)</v>
      </c>
      <c r="B43" t="str">
        <f t="shared" si="2"/>
        <v>Kalpana Agrawal</v>
      </c>
      <c r="C43" s="10">
        <f t="shared" si="6"/>
        <v>0.3334259259259259</v>
      </c>
      <c r="D43" s="10">
        <f t="shared" si="7"/>
        <v>0.16271990740740741</v>
      </c>
      <c r="E43" s="10">
        <f t="shared" si="8"/>
        <v>0.10062500000000001</v>
      </c>
      <c r="F43">
        <f t="shared" si="9"/>
        <v>56</v>
      </c>
      <c r="G43" s="12">
        <f t="shared" si="10"/>
        <v>0.46542627048042201</v>
      </c>
      <c r="H43">
        <v>1008553</v>
      </c>
      <c r="I43" t="str" cm="1">
        <f t="array" ref="I43">_xlfn.SWITCH(LEFT(A43,FIND("_",A43)-1),
"Mum","Mumbai",
"Hyd","Hyderabad",
"Del","Delhi",
"Ban","Bangalore",
"Che","Chennai",
"Pun","Pune",
"Kol","Kolkata",
"Unknown")</f>
        <v>Hyderabad</v>
      </c>
    </row>
    <row r="44" spans="1:9" x14ac:dyDescent="0.3">
      <c r="A44" t="str">
        <f>Breaktime!A44</f>
        <v>Hyd_Kamini Kumar (1008554)</v>
      </c>
      <c r="B44" t="str">
        <f t="shared" si="2"/>
        <v>Kamini Kumar</v>
      </c>
      <c r="C44" s="10">
        <f t="shared" si="6"/>
        <v>0.20945601851851853</v>
      </c>
      <c r="D44" s="10">
        <f t="shared" si="7"/>
        <v>0.13993055555555556</v>
      </c>
      <c r="E44" s="10">
        <f t="shared" si="8"/>
        <v>1.0416666666666666E-2</v>
      </c>
      <c r="F44">
        <f t="shared" si="9"/>
        <v>55</v>
      </c>
      <c r="G44" s="12">
        <f t="shared" si="10"/>
        <v>0.64380836602751801</v>
      </c>
      <c r="H44">
        <v>1008554</v>
      </c>
      <c r="I44" t="str" cm="1">
        <f t="array" ref="I44">_xlfn.SWITCH(LEFT(A44,FIND("_",A44)-1),
"Mum","Mumbai",
"Hyd","Hyderabad",
"Del","Delhi",
"Ban","Bangalore",
"Che","Chennai",
"Pun","Pune",
"Kol","Kolkata",
"Unknown")</f>
        <v>Hyderabad</v>
      </c>
    </row>
    <row r="45" spans="1:9" x14ac:dyDescent="0.3">
      <c r="A45" t="str">
        <f>Breaktime!A45</f>
        <v>Hyd_Kamini Tiwari (1008555)</v>
      </c>
      <c r="B45" t="str">
        <f t="shared" si="2"/>
        <v>Kamini Tiwari</v>
      </c>
      <c r="C45" s="10">
        <f t="shared" si="6"/>
        <v>0.35192129629629632</v>
      </c>
      <c r="D45" s="10">
        <f t="shared" si="7"/>
        <v>0.22140046296296295</v>
      </c>
      <c r="E45" s="10">
        <f t="shared" si="8"/>
        <v>4.8437500000000001E-2</v>
      </c>
      <c r="F45">
        <f t="shared" si="9"/>
        <v>54</v>
      </c>
      <c r="G45" s="12">
        <f t="shared" si="10"/>
        <v>0.57347234098533195</v>
      </c>
      <c r="H45">
        <v>1008555</v>
      </c>
      <c r="I45" t="str" cm="1">
        <f t="array" ref="I45">_xlfn.SWITCH(LEFT(A45,FIND("_",A45)-1),
"Mum","Mumbai",
"Hyd","Hyderabad",
"Del","Delhi",
"Ban","Bangalore",
"Che","Chennai",
"Pun","Pune",
"Kol","Kolkata",
"Unknown")</f>
        <v>Hyderabad</v>
      </c>
    </row>
    <row r="46" spans="1:9" x14ac:dyDescent="0.3">
      <c r="A46" t="str">
        <f>Breaktime!A46</f>
        <v>Hyd_Kavita Sharma (1008556)</v>
      </c>
      <c r="B46" t="str">
        <f t="shared" si="2"/>
        <v>Kavita Sharma</v>
      </c>
      <c r="C46" s="10">
        <f t="shared" si="6"/>
        <v>0.32876157407407408</v>
      </c>
      <c r="D46" s="10">
        <f t="shared" si="7"/>
        <v>0.22660879629629629</v>
      </c>
      <c r="E46" s="10">
        <f t="shared" si="8"/>
        <v>3.9108796296296294E-2</v>
      </c>
      <c r="F46">
        <f t="shared" si="9"/>
        <v>53</v>
      </c>
      <c r="G46" s="12">
        <f t="shared" si="10"/>
        <v>0.64717479317021698</v>
      </c>
      <c r="H46">
        <v>1008556</v>
      </c>
      <c r="I46" t="str" cm="1">
        <f t="array" ref="I46">_xlfn.SWITCH(LEFT(A46,FIND("_",A46)-1),
"Mum","Mumbai",
"Hyd","Hyderabad",
"Del","Delhi",
"Ban","Bangalore",
"Che","Chennai",
"Pun","Pune",
"Kol","Kolkata",
"Unknown")</f>
        <v>Hyderabad</v>
      </c>
    </row>
    <row r="47" spans="1:9" x14ac:dyDescent="0.3">
      <c r="A47" t="str">
        <f>Breaktime!A47</f>
        <v>Hyd_Kiran Khubchandani (1008557)</v>
      </c>
      <c r="B47" t="str">
        <f t="shared" si="2"/>
        <v>Kiran Khubchandani</v>
      </c>
      <c r="C47" s="10">
        <f t="shared" si="6"/>
        <v>0.33435185185185184</v>
      </c>
      <c r="D47" s="10">
        <f t="shared" si="7"/>
        <v>0.17586805555555557</v>
      </c>
      <c r="E47" s="10">
        <f t="shared" si="8"/>
        <v>9.0555555555555556E-2</v>
      </c>
      <c r="F47">
        <f t="shared" si="9"/>
        <v>52</v>
      </c>
      <c r="G47" s="12">
        <f t="shared" si="10"/>
        <v>0.50443090556632497</v>
      </c>
      <c r="H47">
        <v>1008557</v>
      </c>
      <c r="I47" t="str" cm="1">
        <f t="array" ref="I47">_xlfn.SWITCH(LEFT(A47,FIND("_",A47)-1),
"Mum","Mumbai",
"Hyd","Hyderabad",
"Del","Delhi",
"Ban","Bangalore",
"Che","Chennai",
"Pun","Pune",
"Kol","Kolkata",
"Unknown")</f>
        <v>Hyderabad</v>
      </c>
    </row>
    <row r="48" spans="1:9" x14ac:dyDescent="0.3">
      <c r="A48" t="str">
        <f>Breaktime!A48</f>
        <v>Hyd_Kisun Sah (1008558)</v>
      </c>
      <c r="B48" t="str">
        <f t="shared" si="2"/>
        <v>Kisun Sah</v>
      </c>
      <c r="C48" s="10">
        <f t="shared" si="6"/>
        <v>0.34831018518518519</v>
      </c>
      <c r="D48" s="10">
        <f t="shared" si="7"/>
        <v>0.21436342592592592</v>
      </c>
      <c r="E48" s="10">
        <f t="shared" si="8"/>
        <v>4.8240740740740744E-2</v>
      </c>
      <c r="F48">
        <f t="shared" si="9"/>
        <v>51</v>
      </c>
      <c r="G48" s="12">
        <f t="shared" si="10"/>
        <v>0.55280122283511701</v>
      </c>
      <c r="H48">
        <v>1008558</v>
      </c>
      <c r="I48" t="str" cm="1">
        <f t="array" ref="I48">_xlfn.SWITCH(LEFT(A48,FIND("_",A48)-1),
"Mum","Mumbai",
"Hyd","Hyderabad",
"Del","Delhi",
"Ban","Bangalore",
"Che","Chennai",
"Pun","Pune",
"Kol","Kolkata",
"Unknown")</f>
        <v>Hyderabad</v>
      </c>
    </row>
    <row r="49" spans="1:9" x14ac:dyDescent="0.3">
      <c r="A49" t="str">
        <f>Breaktime!A49</f>
        <v>Hyd_Krishana Kumar (1008559)</v>
      </c>
      <c r="B49" t="str">
        <f t="shared" si="2"/>
        <v>Krishana Kumar</v>
      </c>
      <c r="C49" s="10">
        <f t="shared" si="6"/>
        <v>0.34407407407407409</v>
      </c>
      <c r="D49" s="10">
        <f t="shared" si="7"/>
        <v>0.19798611111111111</v>
      </c>
      <c r="E49" s="10">
        <f t="shared" si="8"/>
        <v>4.8437500000000001E-2</v>
      </c>
      <c r="F49">
        <f t="shared" si="9"/>
        <v>50</v>
      </c>
      <c r="G49" s="12">
        <f t="shared" si="10"/>
        <v>0.55493137782561897</v>
      </c>
      <c r="H49">
        <v>1008559</v>
      </c>
      <c r="I49" t="str" cm="1">
        <f t="array" ref="I49">_xlfn.SWITCH(LEFT(A49,FIND("_",A49)-1),
"Mum","Mumbai",
"Hyd","Hyderabad",
"Del","Delhi",
"Ban","Bangalore",
"Che","Chennai",
"Pun","Pune",
"Kol","Kolkata",
"Unknown")</f>
        <v>Hyderabad</v>
      </c>
    </row>
    <row r="50" spans="1:9" x14ac:dyDescent="0.3">
      <c r="A50" t="str">
        <f>Breaktime!A50</f>
        <v>Hyd_Kunj Bihari (1008560)</v>
      </c>
      <c r="B50" t="str">
        <f t="shared" si="2"/>
        <v>Kunj Bihari</v>
      </c>
      <c r="C50" s="10">
        <f t="shared" si="6"/>
        <v>0.33285879629629628</v>
      </c>
      <c r="D50" s="10">
        <f t="shared" si="7"/>
        <v>0.19598379629629631</v>
      </c>
      <c r="E50" s="10">
        <f t="shared" si="8"/>
        <v>4.8738425925925928E-2</v>
      </c>
      <c r="F50">
        <f t="shared" si="9"/>
        <v>49</v>
      </c>
      <c r="G50" s="12">
        <f t="shared" si="10"/>
        <v>0.55217497131332804</v>
      </c>
      <c r="H50">
        <v>1008560</v>
      </c>
      <c r="I50" t="str" cm="1">
        <f t="array" ref="I50">_xlfn.SWITCH(LEFT(A50,FIND("_",A50)-1),
"Mum","Mumbai",
"Hyd","Hyderabad",
"Del","Delhi",
"Ban","Bangalore",
"Che","Chennai",
"Pun","Pune",
"Kol","Kolkata",
"Unknown")</f>
        <v>Hyderabad</v>
      </c>
    </row>
    <row r="51" spans="1:9" x14ac:dyDescent="0.3">
      <c r="A51" t="str">
        <f>Breaktime!A51</f>
        <v>Hyd_Leena George (1008561)</v>
      </c>
      <c r="B51" t="str">
        <f t="shared" si="2"/>
        <v>Leena George</v>
      </c>
      <c r="C51" s="10">
        <f t="shared" si="6"/>
        <v>0.20570601851851852</v>
      </c>
      <c r="D51" s="10">
        <f t="shared" si="7"/>
        <v>0.13252314814814814</v>
      </c>
      <c r="E51" s="10">
        <f t="shared" si="8"/>
        <v>1.2615740740740742E-2</v>
      </c>
      <c r="F51">
        <f t="shared" si="9"/>
        <v>48</v>
      </c>
      <c r="G51" s="12">
        <f t="shared" si="10"/>
        <v>0.58819557756147001</v>
      </c>
      <c r="H51">
        <v>1008561</v>
      </c>
      <c r="I51" t="str" cm="1">
        <f t="array" ref="I51">_xlfn.SWITCH(LEFT(A51,FIND("_",A51)-1),
"Mum","Mumbai",
"Hyd","Hyderabad",
"Del","Delhi",
"Ban","Bangalore",
"Che","Chennai",
"Pun","Pune",
"Kol","Kolkata",
"Unknown")</f>
        <v>Hyderabad</v>
      </c>
    </row>
    <row r="52" spans="1:9" x14ac:dyDescent="0.3">
      <c r="A52" t="str">
        <f>Breaktime!A52</f>
        <v>Hyd_Lilly Lucy (1008562)</v>
      </c>
      <c r="B52" t="str">
        <f t="shared" si="2"/>
        <v>Lilly Lucy</v>
      </c>
      <c r="C52" s="10">
        <f t="shared" si="6"/>
        <v>0.32318287037037036</v>
      </c>
      <c r="D52" s="10">
        <f t="shared" si="7"/>
        <v>0.19381944444444443</v>
      </c>
      <c r="E52" s="10">
        <f t="shared" si="8"/>
        <v>5.1898148148148152E-2</v>
      </c>
      <c r="F52">
        <f t="shared" si="9"/>
        <v>47</v>
      </c>
      <c r="G52" s="12">
        <f t="shared" si="10"/>
        <v>0.55534863732407003</v>
      </c>
      <c r="H52">
        <v>1008562</v>
      </c>
      <c r="I52" t="str" cm="1">
        <f t="array" ref="I52">_xlfn.SWITCH(LEFT(A52,FIND("_",A52)-1),
"Mum","Mumbai",
"Hyd","Hyderabad",
"Del","Delhi",
"Ban","Bangalore",
"Che","Chennai",
"Pun","Pune",
"Kol","Kolkata",
"Unknown")</f>
        <v>Hyderabad</v>
      </c>
    </row>
    <row r="53" spans="1:9" x14ac:dyDescent="0.3">
      <c r="A53" t="str">
        <f>Breaktime!A53</f>
        <v>Hyd_Mangal Singh (1008563)</v>
      </c>
      <c r="B53" t="str">
        <f t="shared" si="2"/>
        <v>Mangal Singh</v>
      </c>
      <c r="C53" s="10">
        <f t="shared" si="6"/>
        <v>0.33348379629629632</v>
      </c>
      <c r="D53" s="10">
        <f t="shared" si="7"/>
        <v>0.19890046296296296</v>
      </c>
      <c r="E53" s="10">
        <f t="shared" si="8"/>
        <v>4.8657407407407406E-2</v>
      </c>
      <c r="F53">
        <f t="shared" si="9"/>
        <v>46</v>
      </c>
      <c r="G53" s="12">
        <f t="shared" si="10"/>
        <v>0.55815083469267301</v>
      </c>
      <c r="H53">
        <v>1008563</v>
      </c>
      <c r="I53" t="str" cm="1">
        <f t="array" ref="I53">_xlfn.SWITCH(LEFT(A53,FIND("_",A53)-1),
"Mum","Mumbai",
"Hyd","Hyderabad",
"Del","Delhi",
"Ban","Bangalore",
"Che","Chennai",
"Pun","Pune",
"Kol","Kolkata",
"Unknown")</f>
        <v>Hyderabad</v>
      </c>
    </row>
    <row r="54" spans="1:9" x14ac:dyDescent="0.3">
      <c r="A54" t="str">
        <f>Breaktime!A54</f>
        <v>Hyd_Manisha Shrivastava (1008564)</v>
      </c>
      <c r="B54" t="str">
        <f t="shared" si="2"/>
        <v>Manisha Shrivastava</v>
      </c>
      <c r="C54" s="10">
        <f t="shared" si="6"/>
        <v>0.34015046296296297</v>
      </c>
      <c r="D54" s="10">
        <f t="shared" si="7"/>
        <v>0.20222222222222222</v>
      </c>
      <c r="E54" s="10">
        <f t="shared" si="8"/>
        <v>4.8715277777777781E-2</v>
      </c>
      <c r="F54">
        <f t="shared" si="9"/>
        <v>45</v>
      </c>
      <c r="G54" s="12">
        <f t="shared" si="10"/>
        <v>0.53002824185919895</v>
      </c>
      <c r="H54">
        <v>1008564</v>
      </c>
      <c r="I54" t="str" cm="1">
        <f t="array" ref="I54">_xlfn.SWITCH(LEFT(A54,FIND("_",A54)-1),
"Mum","Mumbai",
"Hyd","Hyderabad",
"Del","Delhi",
"Ban","Bangalore",
"Che","Chennai",
"Pun","Pune",
"Kol","Kolkata",
"Unknown")</f>
        <v>Hyderabad</v>
      </c>
    </row>
    <row r="55" spans="1:9" x14ac:dyDescent="0.3">
      <c r="A55" t="str">
        <f>Breaktime!A55</f>
        <v>Hyd_Manjusha Sinha (1008565)</v>
      </c>
      <c r="B55" t="str">
        <f t="shared" si="2"/>
        <v>Manjusha Sinha</v>
      </c>
      <c r="C55" s="10">
        <f t="shared" si="6"/>
        <v>0.34311342592592592</v>
      </c>
      <c r="D55" s="10">
        <f t="shared" si="7"/>
        <v>0.21112268518518518</v>
      </c>
      <c r="E55" s="10">
        <f t="shared" si="8"/>
        <v>4.9062500000000002E-2</v>
      </c>
      <c r="F55">
        <f t="shared" si="9"/>
        <v>44</v>
      </c>
      <c r="G55" s="12">
        <f t="shared" si="10"/>
        <v>0.54639905548996504</v>
      </c>
      <c r="H55">
        <v>1008565</v>
      </c>
      <c r="I55" t="str" cm="1">
        <f t="array" ref="I55">_xlfn.SWITCH(LEFT(A55,FIND("_",A55)-1),
"Mum","Mumbai",
"Hyd","Hyderabad",
"Del","Delhi",
"Ban","Bangalore",
"Che","Chennai",
"Pun","Pune",
"Kol","Kolkata",
"Unknown")</f>
        <v>Hyderabad</v>
      </c>
    </row>
    <row r="56" spans="1:9" x14ac:dyDescent="0.3">
      <c r="A56" t="str">
        <f>Breaktime!A56</f>
        <v>Hyd_ManjuTiwari Lab (1008566)</v>
      </c>
      <c r="B56" t="str">
        <f t="shared" si="2"/>
        <v>ManjuTiwari Lab</v>
      </c>
      <c r="C56" s="10">
        <f t="shared" si="6"/>
        <v>0.32046296296296295</v>
      </c>
      <c r="D56" s="10">
        <f t="shared" si="7"/>
        <v>0.18484953703703705</v>
      </c>
      <c r="E56" s="10">
        <f t="shared" si="8"/>
        <v>4.9143518518518517E-2</v>
      </c>
      <c r="F56">
        <f t="shared" si="9"/>
        <v>43</v>
      </c>
      <c r="G56" s="12">
        <f t="shared" si="10"/>
        <v>0.52849609939323905</v>
      </c>
      <c r="H56">
        <v>1008566</v>
      </c>
      <c r="I56" t="str" cm="1">
        <f t="array" ref="I56">_xlfn.SWITCH(LEFT(A56,FIND("_",A56)-1),
"Mum","Mumbai",
"Hyd","Hyderabad",
"Del","Delhi",
"Ban","Bangalore",
"Che","Chennai",
"Pun","Pune",
"Kol","Kolkata",
"Unknown")</f>
        <v>Hyderabad</v>
      </c>
    </row>
    <row r="57" spans="1:9" x14ac:dyDescent="0.3">
      <c r="A57" t="str">
        <f>Breaktime!A57</f>
        <v>Hyd_Manoj Kumar (1008567)</v>
      </c>
      <c r="B57" t="str">
        <f t="shared" si="2"/>
        <v>Manoj Kumar</v>
      </c>
      <c r="C57" s="10">
        <f t="shared" si="6"/>
        <v>0.33384259259259258</v>
      </c>
      <c r="D57" s="10">
        <f t="shared" si="7"/>
        <v>0.1867824074074074</v>
      </c>
      <c r="E57" s="10">
        <f t="shared" si="8"/>
        <v>4.853009259259259E-2</v>
      </c>
      <c r="F57">
        <f t="shared" si="9"/>
        <v>42</v>
      </c>
      <c r="G57" s="12">
        <f t="shared" si="10"/>
        <v>0.53279711551795905</v>
      </c>
      <c r="H57">
        <v>1008567</v>
      </c>
      <c r="I57" t="str" cm="1">
        <f t="array" ref="I57">_xlfn.SWITCH(LEFT(A57,FIND("_",A57)-1),
"Mum","Mumbai",
"Hyd","Hyderabad",
"Del","Delhi",
"Ban","Bangalore",
"Che","Chennai",
"Pun","Pune",
"Kol","Kolkata",
"Unknown")</f>
        <v>Hyderabad</v>
      </c>
    </row>
    <row r="58" spans="1:9" x14ac:dyDescent="0.3">
      <c r="A58" t="str">
        <f>Breaktime!A58</f>
        <v>Hyd_Manoj Kumar (1008568)</v>
      </c>
      <c r="B58" t="str">
        <f t="shared" si="2"/>
        <v>Manoj Kumar</v>
      </c>
      <c r="C58" s="10">
        <f t="shared" si="6"/>
        <v>0.33012731481481483</v>
      </c>
      <c r="D58" s="10">
        <f t="shared" si="7"/>
        <v>0.18739583333333334</v>
      </c>
      <c r="E58" s="10">
        <f t="shared" si="8"/>
        <v>5.2766203703703704E-2</v>
      </c>
      <c r="F58">
        <f t="shared" si="9"/>
        <v>41</v>
      </c>
      <c r="G58" s="12">
        <f t="shared" si="10"/>
        <v>0.53150089401535605</v>
      </c>
      <c r="H58">
        <v>1008568</v>
      </c>
      <c r="I58" t="str" cm="1">
        <f t="array" ref="I58">_xlfn.SWITCH(LEFT(A58,FIND("_",A58)-1),
"Mum","Mumbai",
"Hyd","Hyderabad",
"Del","Delhi",
"Ban","Bangalore",
"Che","Chennai",
"Pun","Pune",
"Kol","Kolkata",
"Unknown")</f>
        <v>Hyderabad</v>
      </c>
    </row>
    <row r="59" spans="1:9" x14ac:dyDescent="0.3">
      <c r="A59" t="str">
        <f>Breaktime!A59</f>
        <v>Hyd_Masroor Adil (1008569)</v>
      </c>
      <c r="B59" t="str">
        <f t="shared" si="2"/>
        <v>Masroor Adil</v>
      </c>
      <c r="C59" s="10">
        <f t="shared" si="6"/>
        <v>0.34032407407407406</v>
      </c>
      <c r="D59" s="10">
        <f t="shared" si="7"/>
        <v>0.21151620370370369</v>
      </c>
      <c r="E59" s="10">
        <f t="shared" si="8"/>
        <v>4.9756944444444444E-2</v>
      </c>
      <c r="F59">
        <f t="shared" si="9"/>
        <v>40</v>
      </c>
      <c r="G59" s="12">
        <f t="shared" si="10"/>
        <v>0.58954564004897303</v>
      </c>
      <c r="H59">
        <v>1008569</v>
      </c>
      <c r="I59" t="str" cm="1">
        <f t="array" ref="I59">_xlfn.SWITCH(LEFT(A59,FIND("_",A59)-1),
"Mum","Mumbai",
"Hyd","Hyderabad",
"Del","Delhi",
"Ban","Bangalore",
"Che","Chennai",
"Pun","Pune",
"Kol","Kolkata",
"Unknown")</f>
        <v>Hyderabad</v>
      </c>
    </row>
    <row r="60" spans="1:9" x14ac:dyDescent="0.3">
      <c r="A60" t="str">
        <f>Breaktime!A60</f>
        <v>Hyd_Meena Zinjare (1008570)</v>
      </c>
      <c r="B60" t="str">
        <f t="shared" si="2"/>
        <v>Meena Zinjare</v>
      </c>
      <c r="C60" s="10">
        <f t="shared" si="6"/>
        <v>0.33714120370370371</v>
      </c>
      <c r="D60" s="10">
        <f t="shared" si="7"/>
        <v>0.13162037037037036</v>
      </c>
      <c r="E60" s="10">
        <f t="shared" si="8"/>
        <v>0.14913194444444444</v>
      </c>
      <c r="F60">
        <f t="shared" si="9"/>
        <v>39</v>
      </c>
      <c r="G60" s="12">
        <f t="shared" si="10"/>
        <v>0.34903360911806097</v>
      </c>
      <c r="H60">
        <v>1008570</v>
      </c>
      <c r="I60" t="str" cm="1">
        <f t="array" ref="I60">_xlfn.SWITCH(LEFT(A60,FIND("_",A60)-1),
"Mum","Mumbai",
"Hyd","Hyderabad",
"Del","Delhi",
"Ban","Bangalore",
"Che","Chennai",
"Pun","Pune",
"Kol","Kolkata",
"Unknown")</f>
        <v>Hyderabad</v>
      </c>
    </row>
    <row r="61" spans="1:9" x14ac:dyDescent="0.3">
      <c r="A61" t="str">
        <f>Breaktime!A61</f>
        <v>Hyd_Mehnaz Khan (1008571)</v>
      </c>
      <c r="B61" t="str">
        <f t="shared" si="2"/>
        <v>Mehnaz Khan</v>
      </c>
      <c r="C61" s="10">
        <f t="shared" si="6"/>
        <v>0.34364583333333332</v>
      </c>
      <c r="D61" s="10">
        <f t="shared" si="7"/>
        <v>0.17246527777777779</v>
      </c>
      <c r="E61" s="10">
        <f t="shared" si="8"/>
        <v>9.194444444444444E-2</v>
      </c>
      <c r="F61">
        <f t="shared" si="9"/>
        <v>38</v>
      </c>
      <c r="G61" s="12">
        <f t="shared" si="10"/>
        <v>0.47933717288067101</v>
      </c>
      <c r="H61">
        <v>1008571</v>
      </c>
      <c r="I61" t="str" cm="1">
        <f t="array" ref="I61">_xlfn.SWITCH(LEFT(A61,FIND("_",A61)-1),
"Mum","Mumbai",
"Hyd","Hyderabad",
"Del","Delhi",
"Ban","Bangalore",
"Che","Chennai",
"Pun","Pune",
"Kol","Kolkata",
"Unknown")</f>
        <v>Hyderabad</v>
      </c>
    </row>
    <row r="62" spans="1:9" x14ac:dyDescent="0.3">
      <c r="A62" t="str">
        <f>Breaktime!A62</f>
        <v>Hyd_Mercy Thampi (1008572)</v>
      </c>
      <c r="B62" t="str">
        <f t="shared" si="2"/>
        <v>Mercy Thampi</v>
      </c>
      <c r="C62" s="10">
        <f t="shared" si="6"/>
        <v>0.21915509259259258</v>
      </c>
      <c r="D62" s="10">
        <f t="shared" si="7"/>
        <v>0.15189814814814814</v>
      </c>
      <c r="E62" s="10">
        <f t="shared" si="8"/>
        <v>1.0821759259259258E-2</v>
      </c>
      <c r="F62">
        <f t="shared" si="9"/>
        <v>37</v>
      </c>
      <c r="G62" s="12">
        <f t="shared" si="10"/>
        <v>0.62762080802746201</v>
      </c>
      <c r="H62">
        <v>1008572</v>
      </c>
      <c r="I62" t="str" cm="1">
        <f t="array" ref="I62">_xlfn.SWITCH(LEFT(A62,FIND("_",A62)-1),
"Mum","Mumbai",
"Hyd","Hyderabad",
"Del","Delhi",
"Ban","Bangalore",
"Che","Chennai",
"Pun","Pune",
"Kol","Kolkata",
"Unknown")</f>
        <v>Hyderabad</v>
      </c>
    </row>
    <row r="63" spans="1:9" x14ac:dyDescent="0.3">
      <c r="A63" t="str">
        <f>Breaktime!A63</f>
        <v>Hyd_Miny Mole (1008573)</v>
      </c>
      <c r="B63" t="str">
        <f t="shared" si="2"/>
        <v>Miny Mole</v>
      </c>
      <c r="C63" s="10">
        <f t="shared" si="6"/>
        <v>0.3417824074074074</v>
      </c>
      <c r="D63" s="10">
        <f t="shared" si="7"/>
        <v>0.17645833333333333</v>
      </c>
      <c r="E63" s="10">
        <f t="shared" si="8"/>
        <v>9.2442129629629624E-2</v>
      </c>
      <c r="F63">
        <f t="shared" si="9"/>
        <v>36</v>
      </c>
      <c r="G63" s="12">
        <f t="shared" si="10"/>
        <v>0.47561801557737898</v>
      </c>
      <c r="H63">
        <v>1008573</v>
      </c>
      <c r="I63" t="str" cm="1">
        <f t="array" ref="I63">_xlfn.SWITCH(LEFT(A63,FIND("_",A63)-1),
"Mum","Mumbai",
"Hyd","Hyderabad",
"Del","Delhi",
"Ban","Bangalore",
"Che","Chennai",
"Pun","Pune",
"Kol","Kolkata",
"Unknown")</f>
        <v>Hyderabad</v>
      </c>
    </row>
    <row r="64" spans="1:9" x14ac:dyDescent="0.3">
      <c r="A64" t="str">
        <f>Breaktime!A64</f>
        <v>Hyd_Mohd Rafi (1008574)</v>
      </c>
      <c r="B64" t="str">
        <f t="shared" si="2"/>
        <v>Mohd Rafi</v>
      </c>
      <c r="C64" s="10">
        <f t="shared" si="6"/>
        <v>0.33370370370370372</v>
      </c>
      <c r="D64" s="10">
        <f t="shared" si="7"/>
        <v>0.16336805555555556</v>
      </c>
      <c r="E64" s="10">
        <f t="shared" si="8"/>
        <v>0.11005787037037038</v>
      </c>
      <c r="F64">
        <f t="shared" si="9"/>
        <v>35</v>
      </c>
      <c r="G64" s="12">
        <f t="shared" si="10"/>
        <v>0.43635543840177599</v>
      </c>
      <c r="H64">
        <v>1008574</v>
      </c>
      <c r="I64" t="str" cm="1">
        <f t="array" ref="I64">_xlfn.SWITCH(LEFT(A64,FIND("_",A64)-1),
"Mum","Mumbai",
"Hyd","Hyderabad",
"Del","Delhi",
"Ban","Bangalore",
"Che","Chennai",
"Pun","Pune",
"Kol","Kolkata",
"Unknown")</f>
        <v>Hyderabad</v>
      </c>
    </row>
    <row r="65" spans="1:9" x14ac:dyDescent="0.3">
      <c r="A65" t="str">
        <f>Breaktime!A65</f>
        <v>Hyd_Mubeen Khan (1008575)</v>
      </c>
      <c r="B65" t="str">
        <f t="shared" si="2"/>
        <v>Mubeen Khan</v>
      </c>
      <c r="C65" s="10">
        <f t="shared" si="6"/>
        <v>0.33026620370370369</v>
      </c>
      <c r="D65" s="10">
        <f t="shared" si="7"/>
        <v>0.16021990740740741</v>
      </c>
      <c r="E65" s="10">
        <f t="shared" si="8"/>
        <v>0.10043981481481482</v>
      </c>
      <c r="F65">
        <f t="shared" si="9"/>
        <v>34</v>
      </c>
      <c r="G65" s="12">
        <f t="shared" si="10"/>
        <v>0.451270369721395</v>
      </c>
      <c r="H65">
        <v>1008575</v>
      </c>
      <c r="I65" t="str" cm="1">
        <f t="array" ref="I65">_xlfn.SWITCH(LEFT(A65,FIND("_",A65)-1),
"Mum","Mumbai",
"Hyd","Hyderabad",
"Del","Delhi",
"Ban","Bangalore",
"Che","Chennai",
"Pun","Pune",
"Kol","Kolkata",
"Unknown")</f>
        <v>Hyderabad</v>
      </c>
    </row>
    <row r="66" spans="1:9" x14ac:dyDescent="0.3">
      <c r="A66" t="str">
        <f>Breaktime!A66</f>
        <v>Hyd_Mukesh Nagar (1008576)</v>
      </c>
      <c r="B66" t="str">
        <f t="shared" si="2"/>
        <v>Mukesh Nagar</v>
      </c>
      <c r="C66" s="10">
        <f t="shared" ref="C66:C97" si="11">TIMEVALUE(VLOOKUP(A66,Edata,2,FALSE))</f>
        <v>0.20910879629629631</v>
      </c>
      <c r="D66" s="10">
        <f t="shared" ref="D66:D97" si="12">TIMEVALUE(VLOOKUP(A66,Edata,3,FALSE))</f>
        <v>0.13449074074074074</v>
      </c>
      <c r="E66" s="10">
        <f t="shared" ref="E66:E97" si="13">TIMEVALUE(VLOOKUP(A66,Bdata,9,FALSE))</f>
        <v>2.0532407407407409E-2</v>
      </c>
      <c r="F66">
        <f t="shared" ref="F66:F97" si="14">VLOOKUP(A66,Odata,2,FALSE)</f>
        <v>33</v>
      </c>
      <c r="G66" s="12">
        <f t="shared" ref="G66:G97" si="15">VLOOKUP(A66,Edata,6,FALSE)</f>
        <v>0.61244257486024201</v>
      </c>
      <c r="H66">
        <v>1008576</v>
      </c>
      <c r="I66" t="str" cm="1">
        <f t="array" ref="I66">_xlfn.SWITCH(LEFT(A66,FIND("_",A66)-1),
"Mum","Mumbai",
"Hyd","Hyderabad",
"Del","Delhi",
"Ban","Bangalore",
"Che","Chennai",
"Pun","Pune",
"Kol","Kolkata",
"Unknown")</f>
        <v>Hyderabad</v>
      </c>
    </row>
    <row r="67" spans="1:9" x14ac:dyDescent="0.3">
      <c r="A67" t="str">
        <f>Breaktime!A67</f>
        <v>Hyd_Nandu Kumar (1008577)</v>
      </c>
      <c r="B67" t="str">
        <f t="shared" ref="B67:B130" si="16">MID(A67,FIND("_",A67,1)+1,FIND("(",A67,1)-FIND("_",A67,1)-2)</f>
        <v>Nandu Kumar</v>
      </c>
      <c r="C67" s="10">
        <f t="shared" si="11"/>
        <v>0.34836805555555556</v>
      </c>
      <c r="D67" s="10">
        <f t="shared" si="12"/>
        <v>0.19697916666666668</v>
      </c>
      <c r="E67" s="10">
        <f t="shared" si="13"/>
        <v>5.1423611111111114E-2</v>
      </c>
      <c r="F67">
        <f t="shared" si="14"/>
        <v>32</v>
      </c>
      <c r="G67" s="12">
        <f t="shared" si="15"/>
        <v>0.51755872288115901</v>
      </c>
      <c r="H67">
        <v>1008577</v>
      </c>
      <c r="I67" t="str" cm="1">
        <f t="array" ref="I67">_xlfn.SWITCH(LEFT(A67,FIND("_",A67)-1),
"Mum","Mumbai",
"Hyd","Hyderabad",
"Del","Delhi",
"Ban","Bangalore",
"Che","Chennai",
"Pun","Pune",
"Kol","Kolkata",
"Unknown")</f>
        <v>Hyderabad</v>
      </c>
    </row>
    <row r="68" spans="1:9" x14ac:dyDescent="0.3">
      <c r="A68" t="str">
        <f>Breaktime!A68</f>
        <v>Hyd_Narayan Singh (1008578)</v>
      </c>
      <c r="B68" t="str">
        <f t="shared" si="16"/>
        <v>Narayan Singh</v>
      </c>
      <c r="C68" s="10">
        <f t="shared" si="11"/>
        <v>0.34686342592592595</v>
      </c>
      <c r="D68" s="10">
        <f t="shared" si="12"/>
        <v>0.20438657407407407</v>
      </c>
      <c r="E68" s="10">
        <f t="shared" si="13"/>
        <v>4.7534722222222221E-2</v>
      </c>
      <c r="F68">
        <f t="shared" si="14"/>
        <v>31</v>
      </c>
      <c r="G68" s="12">
        <f t="shared" si="15"/>
        <v>0.55550735760285597</v>
      </c>
      <c r="H68">
        <v>1008578</v>
      </c>
      <c r="I68" t="str" cm="1">
        <f t="array" ref="I68">_xlfn.SWITCH(LEFT(A68,FIND("_",A68)-1),
"Mum","Mumbai",
"Hyd","Hyderabad",
"Del","Delhi",
"Ban","Bangalore",
"Che","Chennai",
"Pun","Pune",
"Kol","Kolkata",
"Unknown")</f>
        <v>Hyderabad</v>
      </c>
    </row>
    <row r="69" spans="1:9" x14ac:dyDescent="0.3">
      <c r="A69" t="str">
        <f>Breaktime!A69</f>
        <v>Hyd_Neeraj Saxena (1008579)</v>
      </c>
      <c r="B69" t="str">
        <f t="shared" si="16"/>
        <v>Neeraj Saxena</v>
      </c>
      <c r="C69" s="10">
        <f t="shared" si="11"/>
        <v>0.34806712962962966</v>
      </c>
      <c r="D69" s="10">
        <f t="shared" si="12"/>
        <v>0.19177083333333333</v>
      </c>
      <c r="E69" s="10">
        <f t="shared" si="13"/>
        <v>9.3958333333333338E-2</v>
      </c>
      <c r="F69">
        <f t="shared" si="14"/>
        <v>30</v>
      </c>
      <c r="G69" s="12">
        <f t="shared" si="15"/>
        <v>0.45535862734013899</v>
      </c>
      <c r="H69">
        <v>1008579</v>
      </c>
      <c r="I69" t="str" cm="1">
        <f t="array" ref="I69">_xlfn.SWITCH(LEFT(A69,FIND("_",A69)-1),
"Mum","Mumbai",
"Hyd","Hyderabad",
"Del","Delhi",
"Ban","Bangalore",
"Che","Chennai",
"Pun","Pune",
"Kol","Kolkata",
"Unknown")</f>
        <v>Hyderabad</v>
      </c>
    </row>
    <row r="70" spans="1:9" x14ac:dyDescent="0.3">
      <c r="A70" t="str">
        <f>Breaktime!A70</f>
        <v>Hyd_Neeru Mehta (1008580)</v>
      </c>
      <c r="B70" t="str">
        <f t="shared" si="16"/>
        <v>Neeru Mehta</v>
      </c>
      <c r="C70" s="10">
        <f t="shared" si="11"/>
        <v>0.3349537037037037</v>
      </c>
      <c r="D70" s="10">
        <f t="shared" si="12"/>
        <v>0.19739583333333333</v>
      </c>
      <c r="E70" s="10">
        <f t="shared" si="13"/>
        <v>4.8645833333333333E-2</v>
      </c>
      <c r="F70">
        <f t="shared" si="14"/>
        <v>29</v>
      </c>
      <c r="G70" s="12">
        <f t="shared" si="15"/>
        <v>0.53445058742225304</v>
      </c>
      <c r="H70">
        <v>1008580</v>
      </c>
      <c r="I70" t="str" cm="1">
        <f t="array" ref="I70">_xlfn.SWITCH(LEFT(A70,FIND("_",A70)-1),
"Mum","Mumbai",
"Hyd","Hyderabad",
"Del","Delhi",
"Ban","Bangalore",
"Che","Chennai",
"Pun","Pune",
"Kol","Kolkata",
"Unknown")</f>
        <v>Hyderabad</v>
      </c>
    </row>
    <row r="71" spans="1:9" x14ac:dyDescent="0.3">
      <c r="A71" t="str">
        <f>Breaktime!A71</f>
        <v>Hyd_Nikita Panwalkar (1008581)</v>
      </c>
      <c r="B71" t="str">
        <f t="shared" si="16"/>
        <v>Nikita Panwalkar</v>
      </c>
      <c r="C71" s="10">
        <f t="shared" si="11"/>
        <v>0.34497685185185184</v>
      </c>
      <c r="D71" s="10">
        <f t="shared" si="12"/>
        <v>0.20746527777777779</v>
      </c>
      <c r="E71" s="10">
        <f t="shared" si="13"/>
        <v>6.7650462962962968E-2</v>
      </c>
      <c r="F71">
        <f t="shared" si="14"/>
        <v>28</v>
      </c>
      <c r="G71" s="12">
        <f t="shared" si="15"/>
        <v>0.55914916459773201</v>
      </c>
      <c r="H71">
        <v>1008581</v>
      </c>
      <c r="I71" t="str" cm="1">
        <f t="array" ref="I71">_xlfn.SWITCH(LEFT(A71,FIND("_",A71)-1),
"Mum","Mumbai",
"Hyd","Hyderabad",
"Del","Delhi",
"Ban","Bangalore",
"Che","Chennai",
"Pun","Pune",
"Kol","Kolkata",
"Unknown")</f>
        <v>Hyderabad</v>
      </c>
    </row>
    <row r="72" spans="1:9" x14ac:dyDescent="0.3">
      <c r="A72" t="str">
        <f>Breaktime!A72</f>
        <v>Hyd_Nitin Bhatia (1008582)</v>
      </c>
      <c r="B72" t="str">
        <f t="shared" si="16"/>
        <v>Nitin Bhatia</v>
      </c>
      <c r="C72" s="10">
        <f t="shared" si="11"/>
        <v>0.33376157407407409</v>
      </c>
      <c r="D72" s="10">
        <f t="shared" si="12"/>
        <v>0.19787037037037036</v>
      </c>
      <c r="E72" s="10">
        <f t="shared" si="13"/>
        <v>4.853009259259259E-2</v>
      </c>
      <c r="F72">
        <f t="shared" si="14"/>
        <v>29</v>
      </c>
      <c r="G72" s="12">
        <f t="shared" si="15"/>
        <v>0.56847106148351101</v>
      </c>
      <c r="H72">
        <v>1008582</v>
      </c>
      <c r="I72" t="str" cm="1">
        <f t="array" ref="I72">_xlfn.SWITCH(LEFT(A72,FIND("_",A72)-1),
"Mum","Mumbai",
"Hyd","Hyderabad",
"Del","Delhi",
"Ban","Bangalore",
"Che","Chennai",
"Pun","Pune",
"Kol","Kolkata",
"Unknown")</f>
        <v>Hyderabad</v>
      </c>
    </row>
    <row r="73" spans="1:9" x14ac:dyDescent="0.3">
      <c r="A73" t="str">
        <f>Breaktime!A73</f>
        <v>Hyd_Om Prakash (1008583)</v>
      </c>
      <c r="B73" t="str">
        <f t="shared" si="16"/>
        <v>Om Prakash</v>
      </c>
      <c r="C73" s="10">
        <f t="shared" si="11"/>
        <v>0.33037037037037037</v>
      </c>
      <c r="D73" s="10">
        <f t="shared" si="12"/>
        <v>0.18496527777777777</v>
      </c>
      <c r="E73" s="10">
        <f t="shared" si="13"/>
        <v>6.6701388888888893E-2</v>
      </c>
      <c r="F73">
        <f t="shared" si="14"/>
        <v>30</v>
      </c>
      <c r="G73" s="12">
        <f t="shared" si="15"/>
        <v>0.47509108744394601</v>
      </c>
      <c r="H73">
        <v>1008583</v>
      </c>
      <c r="I73" t="str" cm="1">
        <f t="array" ref="I73">_xlfn.SWITCH(LEFT(A73,FIND("_",A73)-1),
"Mum","Mumbai",
"Hyd","Hyderabad",
"Del","Delhi",
"Ban","Bangalore",
"Che","Chennai",
"Pun","Pune",
"Kol","Kolkata",
"Unknown")</f>
        <v>Hyderabad</v>
      </c>
    </row>
    <row r="74" spans="1:9" x14ac:dyDescent="0.3">
      <c r="A74" t="str">
        <f>Breaktime!A74</f>
        <v>Hyd_Omprakash O (1008584)</v>
      </c>
      <c r="B74" t="str">
        <f t="shared" si="16"/>
        <v>Omprakash O</v>
      </c>
      <c r="C74" s="10">
        <f t="shared" si="11"/>
        <v>0.34008101851851852</v>
      </c>
      <c r="D74" s="10">
        <f t="shared" si="12"/>
        <v>0.16811342592592593</v>
      </c>
      <c r="E74" s="10">
        <f t="shared" si="13"/>
        <v>9.1597222222222219E-2</v>
      </c>
      <c r="F74">
        <f t="shared" si="14"/>
        <v>31</v>
      </c>
      <c r="G74" s="12">
        <f t="shared" si="15"/>
        <v>0.47578531804104401</v>
      </c>
      <c r="H74">
        <v>1008584</v>
      </c>
      <c r="I74" t="str" cm="1">
        <f t="array" ref="I74">_xlfn.SWITCH(LEFT(A74,FIND("_",A74)-1),
"Mum","Mumbai",
"Hyd","Hyderabad",
"Del","Delhi",
"Ban","Bangalore",
"Che","Chennai",
"Pun","Pune",
"Kol","Kolkata",
"Unknown")</f>
        <v>Hyderabad</v>
      </c>
    </row>
    <row r="75" spans="1:9" x14ac:dyDescent="0.3">
      <c r="A75" t="str">
        <f>Breaktime!A75</f>
        <v>Hyd_Owais Mohd (1008585)</v>
      </c>
      <c r="B75" t="str">
        <f t="shared" si="16"/>
        <v>Owais Mohd</v>
      </c>
      <c r="C75" s="10">
        <f t="shared" si="11"/>
        <v>0.33415509259259257</v>
      </c>
      <c r="D75" s="10">
        <f t="shared" si="12"/>
        <v>0.16863425925925926</v>
      </c>
      <c r="E75" s="10">
        <f t="shared" si="13"/>
        <v>0.10168981481481482</v>
      </c>
      <c r="F75">
        <f t="shared" si="14"/>
        <v>32</v>
      </c>
      <c r="G75" s="12">
        <f t="shared" si="15"/>
        <v>0.46898271622042897</v>
      </c>
      <c r="H75">
        <v>1008585</v>
      </c>
      <c r="I75" t="str" cm="1">
        <f t="array" ref="I75">_xlfn.SWITCH(LEFT(A75,FIND("_",A75)-1),
"Mum","Mumbai",
"Hyd","Hyderabad",
"Del","Delhi",
"Ban","Bangalore",
"Che","Chennai",
"Pun","Pune",
"Kol","Kolkata",
"Unknown")</f>
        <v>Hyderabad</v>
      </c>
    </row>
    <row r="76" spans="1:9" x14ac:dyDescent="0.3">
      <c r="A76" t="str">
        <f>Breaktime!A76</f>
        <v>Hyd_Pankaj Shelkey (1008586)</v>
      </c>
      <c r="B76" t="str">
        <f t="shared" si="16"/>
        <v>Pankaj Shelkey</v>
      </c>
      <c r="C76" s="10">
        <f t="shared" si="11"/>
        <v>0.34437499999999999</v>
      </c>
      <c r="D76" s="10">
        <f t="shared" si="12"/>
        <v>0.18534722222222222</v>
      </c>
      <c r="E76" s="10">
        <f t="shared" si="13"/>
        <v>8.0162037037037032E-2</v>
      </c>
      <c r="F76">
        <f t="shared" si="14"/>
        <v>33</v>
      </c>
      <c r="G76" s="12">
        <f t="shared" si="15"/>
        <v>0.51361161524500898</v>
      </c>
      <c r="H76">
        <v>1008586</v>
      </c>
      <c r="I76" t="str" cm="1">
        <f t="array" ref="I76">_xlfn.SWITCH(LEFT(A76,FIND("_",A76)-1),
"Mum","Mumbai",
"Hyd","Hyderabad",
"Del","Delhi",
"Ban","Bangalore",
"Che","Chennai",
"Pun","Pune",
"Kol","Kolkata",
"Unknown")</f>
        <v>Hyderabad</v>
      </c>
    </row>
    <row r="77" spans="1:9" x14ac:dyDescent="0.3">
      <c r="A77" t="str">
        <f>Breaktime!A77</f>
        <v>Hyd_Partha Sarathi (1008587)</v>
      </c>
      <c r="B77" t="str">
        <f t="shared" si="16"/>
        <v>Partha Sarathi</v>
      </c>
      <c r="C77" s="10">
        <f t="shared" si="11"/>
        <v>0.3558101851851852</v>
      </c>
      <c r="D77" s="10">
        <f t="shared" si="12"/>
        <v>0.21642361111111111</v>
      </c>
      <c r="E77" s="10">
        <f t="shared" si="13"/>
        <v>6.8541666666666667E-2</v>
      </c>
      <c r="F77">
        <f t="shared" si="14"/>
        <v>34</v>
      </c>
      <c r="G77" s="12">
        <f t="shared" si="15"/>
        <v>0.525112224318522</v>
      </c>
      <c r="H77">
        <v>1008587</v>
      </c>
      <c r="I77" t="str" cm="1">
        <f t="array" ref="I77">_xlfn.SWITCH(LEFT(A77,FIND("_",A77)-1),
"Mum","Mumbai",
"Hyd","Hyderabad",
"Del","Delhi",
"Ban","Bangalore",
"Che","Chennai",
"Pun","Pune",
"Kol","Kolkata",
"Unknown")</f>
        <v>Hyderabad</v>
      </c>
    </row>
    <row r="78" spans="1:9" x14ac:dyDescent="0.3">
      <c r="A78" t="str">
        <f>Breaktime!A78</f>
        <v>Hyd_Prabha Desikan (1008588)</v>
      </c>
      <c r="B78" t="str">
        <f t="shared" si="16"/>
        <v>Prabha Desikan</v>
      </c>
      <c r="C78" s="10">
        <f t="shared" si="11"/>
        <v>0.34848379629629628</v>
      </c>
      <c r="D78" s="10">
        <f t="shared" si="12"/>
        <v>0.12767361111111111</v>
      </c>
      <c r="E78" s="10">
        <f t="shared" si="13"/>
        <v>0.17460648148148147</v>
      </c>
      <c r="F78">
        <f t="shared" si="14"/>
        <v>35</v>
      </c>
      <c r="G78" s="12">
        <f t="shared" si="15"/>
        <v>0.348600086352918</v>
      </c>
      <c r="H78">
        <v>1008588</v>
      </c>
      <c r="I78" t="str" cm="1">
        <f t="array" ref="I78">_xlfn.SWITCH(LEFT(A78,FIND("_",A78)-1),
"Mum","Mumbai",
"Hyd","Hyderabad",
"Del","Delhi",
"Ban","Bangalore",
"Che","Chennai",
"Pun","Pune",
"Kol","Kolkata",
"Unknown")</f>
        <v>Hyderabad</v>
      </c>
    </row>
    <row r="79" spans="1:9" x14ac:dyDescent="0.3">
      <c r="A79" t="str">
        <f>Breaktime!A79</f>
        <v>Hyd_Pramod Tiwari (1008589)</v>
      </c>
      <c r="B79" t="str">
        <f t="shared" si="16"/>
        <v>Pramod Tiwari</v>
      </c>
      <c r="C79" s="10">
        <f t="shared" si="11"/>
        <v>0.35092592592592592</v>
      </c>
      <c r="D79" s="10">
        <f t="shared" si="12"/>
        <v>0.12086805555555556</v>
      </c>
      <c r="E79" s="10">
        <f t="shared" si="13"/>
        <v>0.18131944444444445</v>
      </c>
      <c r="F79">
        <f t="shared" si="14"/>
        <v>36</v>
      </c>
      <c r="G79" s="12">
        <f t="shared" si="15"/>
        <v>0.314709762532982</v>
      </c>
      <c r="H79">
        <v>1008589</v>
      </c>
      <c r="I79" t="str" cm="1">
        <f t="array" ref="I79">_xlfn.SWITCH(LEFT(A79,FIND("_",A79)-1),
"Mum","Mumbai",
"Hyd","Hyderabad",
"Del","Delhi",
"Ban","Bangalore",
"Che","Chennai",
"Pun","Pune",
"Kol","Kolkata",
"Unknown")</f>
        <v>Hyderabad</v>
      </c>
    </row>
    <row r="80" spans="1:9" x14ac:dyDescent="0.3">
      <c r="A80" t="str">
        <f>Breaktime!A80</f>
        <v>Hyd_Prasannakumari S (1008590)</v>
      </c>
      <c r="B80" t="str">
        <f t="shared" si="16"/>
        <v>Prasannakumari S</v>
      </c>
      <c r="C80" s="10">
        <f t="shared" si="11"/>
        <v>0.33891203703703704</v>
      </c>
      <c r="D80" s="10">
        <f t="shared" si="12"/>
        <v>0.21581018518518519</v>
      </c>
      <c r="E80" s="10">
        <f t="shared" si="13"/>
        <v>4.8900462962962965E-2</v>
      </c>
      <c r="F80">
        <f t="shared" si="14"/>
        <v>37</v>
      </c>
      <c r="G80" s="12">
        <f t="shared" si="15"/>
        <v>0.55600710333993597</v>
      </c>
      <c r="H80">
        <v>1008590</v>
      </c>
      <c r="I80" t="str" cm="1">
        <f t="array" ref="I80">_xlfn.SWITCH(LEFT(A80,FIND("_",A80)-1),
"Mum","Mumbai",
"Hyd","Hyderabad",
"Del","Delhi",
"Ban","Bangalore",
"Che","Chennai",
"Pun","Pune",
"Kol","Kolkata",
"Unknown")</f>
        <v>Hyderabad</v>
      </c>
    </row>
    <row r="81" spans="1:9" x14ac:dyDescent="0.3">
      <c r="A81" t="str">
        <f>Breaktime!A81</f>
        <v>Hyd_Praveen Kumar (1008591)</v>
      </c>
      <c r="B81" t="str">
        <f t="shared" si="16"/>
        <v>Praveen Kumar</v>
      </c>
      <c r="C81" s="10">
        <f t="shared" si="11"/>
        <v>0.34675925925925927</v>
      </c>
      <c r="D81" s="10">
        <f t="shared" si="12"/>
        <v>0.17275462962962962</v>
      </c>
      <c r="E81" s="10">
        <f t="shared" si="13"/>
        <v>0.10935185185185185</v>
      </c>
      <c r="F81">
        <f t="shared" si="14"/>
        <v>38</v>
      </c>
      <c r="G81" s="12">
        <f t="shared" si="15"/>
        <v>0.46221628838451301</v>
      </c>
      <c r="H81">
        <v>1008591</v>
      </c>
      <c r="I81" t="str" cm="1">
        <f t="array" ref="I81">_xlfn.SWITCH(LEFT(A81,FIND("_",A81)-1),
"Mum","Mumbai",
"Hyd","Hyderabad",
"Del","Delhi",
"Ban","Bangalore",
"Che","Chennai",
"Pun","Pune",
"Kol","Kolkata",
"Unknown")</f>
        <v>Hyderabad</v>
      </c>
    </row>
    <row r="82" spans="1:9" x14ac:dyDescent="0.3">
      <c r="A82" t="str">
        <f>Breaktime!A82</f>
        <v>Hyd_Rachel Mathew (1008592)</v>
      </c>
      <c r="B82" t="str">
        <f t="shared" si="16"/>
        <v>Rachel Mathew</v>
      </c>
      <c r="C82" s="10">
        <f t="shared" si="11"/>
        <v>0.3511111111111111</v>
      </c>
      <c r="D82" s="10">
        <f t="shared" si="12"/>
        <v>0.15339120370370371</v>
      </c>
      <c r="E82" s="10">
        <f t="shared" si="13"/>
        <v>0.13890046296296296</v>
      </c>
      <c r="F82">
        <f t="shared" si="14"/>
        <v>39</v>
      </c>
      <c r="G82" s="12">
        <f t="shared" si="15"/>
        <v>0.39075685654008402</v>
      </c>
      <c r="H82">
        <v>1008592</v>
      </c>
      <c r="I82" t="str" cm="1">
        <f t="array" ref="I82">_xlfn.SWITCH(LEFT(A82,FIND("_",A82)-1),
"Mum","Mumbai",
"Hyd","Hyderabad",
"Del","Delhi",
"Ban","Bangalore",
"Che","Chennai",
"Pun","Pune",
"Kol","Kolkata",
"Unknown")</f>
        <v>Hyderabad</v>
      </c>
    </row>
    <row r="83" spans="1:9" x14ac:dyDescent="0.3">
      <c r="A83" t="str">
        <f>Breaktime!A83</f>
        <v>Hyd_Rachita Anupam (1008593)</v>
      </c>
      <c r="B83" t="str">
        <f t="shared" si="16"/>
        <v>Rachita Anupam</v>
      </c>
      <c r="C83" s="10">
        <f t="shared" si="11"/>
        <v>0.3447453703703704</v>
      </c>
      <c r="D83" s="10">
        <f t="shared" si="12"/>
        <v>0.21947916666666667</v>
      </c>
      <c r="E83" s="10">
        <f t="shared" si="13"/>
        <v>4.7592592592592596E-2</v>
      </c>
      <c r="F83">
        <f t="shared" si="14"/>
        <v>40</v>
      </c>
      <c r="G83" s="12">
        <f t="shared" si="15"/>
        <v>0.54713623850130899</v>
      </c>
      <c r="H83">
        <v>1008593</v>
      </c>
      <c r="I83" t="str" cm="1">
        <f t="array" ref="I83">_xlfn.SWITCH(LEFT(A83,FIND("_",A83)-1),
"Mum","Mumbai",
"Hyd","Hyderabad",
"Del","Delhi",
"Ban","Bangalore",
"Che","Chennai",
"Pun","Pune",
"Kol","Kolkata",
"Unknown")</f>
        <v>Hyderabad</v>
      </c>
    </row>
    <row r="84" spans="1:9" x14ac:dyDescent="0.3">
      <c r="A84" t="str">
        <f>Breaktime!A84</f>
        <v>Hyd_Rachna Chauhan (1008594)</v>
      </c>
      <c r="B84" t="str">
        <f t="shared" si="16"/>
        <v>Rachna Chauhan</v>
      </c>
      <c r="C84" s="10">
        <f t="shared" si="11"/>
        <v>0.3167476851851852</v>
      </c>
      <c r="D84" s="10">
        <f t="shared" si="12"/>
        <v>0.21346064814814814</v>
      </c>
      <c r="E84" s="10">
        <f t="shared" si="13"/>
        <v>2.1064814814814814E-2</v>
      </c>
      <c r="F84">
        <f t="shared" si="14"/>
        <v>41</v>
      </c>
      <c r="G84" s="12">
        <f t="shared" si="15"/>
        <v>0.61457229509993805</v>
      </c>
      <c r="H84">
        <v>1008594</v>
      </c>
      <c r="I84" t="str" cm="1">
        <f t="array" ref="I84">_xlfn.SWITCH(LEFT(A84,FIND("_",A84)-1),
"Mum","Mumbai",
"Hyd","Hyderabad",
"Del","Delhi",
"Ban","Bangalore",
"Che","Chennai",
"Pun","Pune",
"Kol","Kolkata",
"Unknown")</f>
        <v>Hyderabad</v>
      </c>
    </row>
    <row r="85" spans="1:9" x14ac:dyDescent="0.3">
      <c r="A85" t="str">
        <f>Breaktime!A85</f>
        <v>Hyd_Raj Kumar (1008595)</v>
      </c>
      <c r="B85" t="str">
        <f t="shared" si="16"/>
        <v>Raj Kumar</v>
      </c>
      <c r="C85" s="10">
        <f t="shared" si="11"/>
        <v>0.34024305555555556</v>
      </c>
      <c r="D85" s="10">
        <f t="shared" si="12"/>
        <v>0.21100694444444446</v>
      </c>
      <c r="E85" s="10">
        <f t="shared" si="13"/>
        <v>4.7731481481481479E-2</v>
      </c>
      <c r="F85">
        <f t="shared" si="14"/>
        <v>42</v>
      </c>
      <c r="G85" s="12">
        <f t="shared" si="15"/>
        <v>0.55335578460387103</v>
      </c>
      <c r="H85">
        <v>1008595</v>
      </c>
      <c r="I85" t="str" cm="1">
        <f t="array" ref="I85">_xlfn.SWITCH(LEFT(A85,FIND("_",A85)-1),
"Mum","Mumbai",
"Hyd","Hyderabad",
"Del","Delhi",
"Ban","Bangalore",
"Che","Chennai",
"Pun","Pune",
"Kol","Kolkata",
"Unknown")</f>
        <v>Hyderabad</v>
      </c>
    </row>
    <row r="86" spans="1:9" x14ac:dyDescent="0.3">
      <c r="A86" t="str">
        <f>Breaktime!A86</f>
        <v>Hyd_Rajeev Garg (1008596)</v>
      </c>
      <c r="B86" t="str">
        <f t="shared" si="16"/>
        <v>Rajeev Garg</v>
      </c>
      <c r="C86" s="10">
        <f t="shared" si="11"/>
        <v>0.33611111111111114</v>
      </c>
      <c r="D86" s="10">
        <f t="shared" si="12"/>
        <v>0.21214120370370371</v>
      </c>
      <c r="E86" s="10">
        <f t="shared" si="13"/>
        <v>4.7500000000000001E-2</v>
      </c>
      <c r="F86">
        <f t="shared" si="14"/>
        <v>43</v>
      </c>
      <c r="G86" s="12">
        <f t="shared" si="15"/>
        <v>0.611363636363636</v>
      </c>
      <c r="H86">
        <v>1008596</v>
      </c>
      <c r="I86" t="str" cm="1">
        <f t="array" ref="I86">_xlfn.SWITCH(LEFT(A86,FIND("_",A86)-1),
"Mum","Mumbai",
"Hyd","Hyderabad",
"Del","Delhi",
"Ban","Bangalore",
"Che","Chennai",
"Pun","Pune",
"Kol","Kolkata",
"Unknown")</f>
        <v>Hyderabad</v>
      </c>
    </row>
    <row r="87" spans="1:9" x14ac:dyDescent="0.3">
      <c r="A87" t="str">
        <f>Breaktime!A87</f>
        <v>Hyd_Rajeev Kumar (1008597)</v>
      </c>
      <c r="B87" t="str">
        <f t="shared" si="16"/>
        <v>Rajeev Kumar</v>
      </c>
      <c r="C87" s="10">
        <f t="shared" si="11"/>
        <v>0.3331365740740741</v>
      </c>
      <c r="D87" s="10">
        <f t="shared" si="12"/>
        <v>0.18670138888888888</v>
      </c>
      <c r="E87" s="10">
        <f t="shared" si="13"/>
        <v>6.7430555555555549E-2</v>
      </c>
      <c r="F87">
        <f t="shared" si="14"/>
        <v>44</v>
      </c>
      <c r="G87" s="12">
        <f t="shared" si="15"/>
        <v>0.51217732689434703</v>
      </c>
      <c r="H87">
        <v>1008597</v>
      </c>
      <c r="I87" t="str" cm="1">
        <f t="array" ref="I87">_xlfn.SWITCH(LEFT(A87,FIND("_",A87)-1),
"Mum","Mumbai",
"Hyd","Hyderabad",
"Del","Delhi",
"Ban","Bangalore",
"Che","Chennai",
"Pun","Pune",
"Kol","Kolkata",
"Unknown")</f>
        <v>Hyderabad</v>
      </c>
    </row>
    <row r="88" spans="1:9" x14ac:dyDescent="0.3">
      <c r="A88" t="str">
        <f>Breaktime!A88</f>
        <v>Hyd_Rajendra Gupta (1008598)</v>
      </c>
      <c r="B88" t="str">
        <f t="shared" si="16"/>
        <v>Rajendra Gupta</v>
      </c>
      <c r="C88" s="10">
        <f t="shared" si="11"/>
        <v>0.35135416666666669</v>
      </c>
      <c r="D88" s="10">
        <f t="shared" si="12"/>
        <v>0.20708333333333334</v>
      </c>
      <c r="E88" s="10">
        <f t="shared" si="13"/>
        <v>5.4953703703703706E-2</v>
      </c>
      <c r="F88">
        <f t="shared" si="14"/>
        <v>45</v>
      </c>
      <c r="G88" s="12">
        <f t="shared" si="15"/>
        <v>0.56029910728991705</v>
      </c>
      <c r="H88">
        <v>1008598</v>
      </c>
      <c r="I88" t="str" cm="1">
        <f t="array" ref="I88">_xlfn.SWITCH(LEFT(A88,FIND("_",A88)-1),
"Mum","Mumbai",
"Hyd","Hyderabad",
"Del","Delhi",
"Ban","Bangalore",
"Che","Chennai",
"Pun","Pune",
"Kol","Kolkata",
"Unknown")</f>
        <v>Hyderabad</v>
      </c>
    </row>
    <row r="89" spans="1:9" x14ac:dyDescent="0.3">
      <c r="A89" t="str">
        <f>Breaktime!A89</f>
        <v>Hyd_Rajendra Kumar (1008599)</v>
      </c>
      <c r="B89" t="str">
        <f t="shared" si="16"/>
        <v>Rajendra Kumar</v>
      </c>
      <c r="C89" s="10">
        <f t="shared" si="11"/>
        <v>0.34356481481481482</v>
      </c>
      <c r="D89" s="10">
        <f t="shared" si="12"/>
        <v>0.16344907407407408</v>
      </c>
      <c r="E89" s="10">
        <f t="shared" si="13"/>
        <v>0.10712962962962963</v>
      </c>
      <c r="F89">
        <f t="shared" si="14"/>
        <v>46</v>
      </c>
      <c r="G89" s="12">
        <f t="shared" si="15"/>
        <v>0.42891793558819602</v>
      </c>
      <c r="H89">
        <v>1008599</v>
      </c>
      <c r="I89" t="str" cm="1">
        <f t="array" ref="I89">_xlfn.SWITCH(LEFT(A89,FIND("_",A89)-1),
"Mum","Mumbai",
"Hyd","Hyderabad",
"Del","Delhi",
"Ban","Bangalore",
"Che","Chennai",
"Pun","Pune",
"Kol","Kolkata",
"Unknown")</f>
        <v>Hyderabad</v>
      </c>
    </row>
    <row r="90" spans="1:9" x14ac:dyDescent="0.3">
      <c r="A90" t="str">
        <f>Breaktime!A90</f>
        <v>Hyd_Rajendra Prasad (1008600)</v>
      </c>
      <c r="B90" t="str">
        <f t="shared" si="16"/>
        <v>Rajendra Prasad</v>
      </c>
      <c r="C90" s="10">
        <f t="shared" si="11"/>
        <v>0.34900462962962964</v>
      </c>
      <c r="D90" s="10">
        <f t="shared" si="12"/>
        <v>3.3715277777777775E-2</v>
      </c>
      <c r="E90" s="10">
        <f t="shared" si="13"/>
        <v>0.29744212962962963</v>
      </c>
      <c r="F90">
        <f t="shared" si="14"/>
        <v>47</v>
      </c>
      <c r="G90" s="12">
        <f t="shared" si="15"/>
        <v>9.4547987000066294E-2</v>
      </c>
      <c r="H90">
        <v>1008600</v>
      </c>
      <c r="I90" t="str" cm="1">
        <f t="array" ref="I90">_xlfn.SWITCH(LEFT(A90,FIND("_",A90)-1),
"Mum","Mumbai",
"Hyd","Hyderabad",
"Del","Delhi",
"Ban","Bangalore",
"Che","Chennai",
"Pun","Pune",
"Kol","Kolkata",
"Unknown")</f>
        <v>Hyderabad</v>
      </c>
    </row>
    <row r="91" spans="1:9" x14ac:dyDescent="0.3">
      <c r="A91" t="str">
        <f>Breaktime!A91</f>
        <v>Hyd_Rajesh Kumar (1008601)</v>
      </c>
      <c r="B91" t="str">
        <f t="shared" si="16"/>
        <v>Rajesh Kumar</v>
      </c>
      <c r="C91" s="10">
        <f t="shared" si="11"/>
        <v>0.33378472222222222</v>
      </c>
      <c r="D91" s="10">
        <f t="shared" si="12"/>
        <v>0.21655092592592592</v>
      </c>
      <c r="E91" s="10">
        <f t="shared" si="13"/>
        <v>5.0046296296296297E-2</v>
      </c>
      <c r="F91">
        <f t="shared" si="14"/>
        <v>48</v>
      </c>
      <c r="G91" s="12">
        <f t="shared" si="15"/>
        <v>0.61021533340268397</v>
      </c>
      <c r="H91">
        <v>1008601</v>
      </c>
      <c r="I91" t="str" cm="1">
        <f t="array" ref="I91">_xlfn.SWITCH(LEFT(A91,FIND("_",A91)-1),
"Mum","Mumbai",
"Hyd","Hyderabad",
"Del","Delhi",
"Ban","Bangalore",
"Che","Chennai",
"Pun","Pune",
"Kol","Kolkata",
"Unknown")</f>
        <v>Hyderabad</v>
      </c>
    </row>
    <row r="92" spans="1:9" x14ac:dyDescent="0.3">
      <c r="A92" t="str">
        <f>Breaktime!A92</f>
        <v>Hyd_Rajesh Kumar (1008602)</v>
      </c>
      <c r="B92" t="str">
        <f t="shared" si="16"/>
        <v>Rajesh Kumar</v>
      </c>
      <c r="C92" s="10">
        <f t="shared" si="11"/>
        <v>0.34559027777777779</v>
      </c>
      <c r="D92" s="10">
        <f t="shared" si="12"/>
        <v>0.2011574074074074</v>
      </c>
      <c r="E92" s="10">
        <f t="shared" si="13"/>
        <v>8.790509259259259E-2</v>
      </c>
      <c r="F92">
        <f t="shared" si="14"/>
        <v>49</v>
      </c>
      <c r="G92" s="12">
        <f t="shared" si="15"/>
        <v>0.51260926353863201</v>
      </c>
      <c r="H92">
        <v>1008602</v>
      </c>
      <c r="I92" t="str" cm="1">
        <f t="array" ref="I92">_xlfn.SWITCH(LEFT(A92,FIND("_",A92)-1),
"Mum","Mumbai",
"Hyd","Hyderabad",
"Del","Delhi",
"Ban","Bangalore",
"Che","Chennai",
"Pun","Pune",
"Kol","Kolkata",
"Unknown")</f>
        <v>Hyderabad</v>
      </c>
    </row>
    <row r="93" spans="1:9" x14ac:dyDescent="0.3">
      <c r="A93" t="str">
        <f>Breaktime!A93</f>
        <v>Hyd_Rajesh Sharma (1008603)</v>
      </c>
      <c r="B93" t="str">
        <f t="shared" si="16"/>
        <v>Rajesh Sharma</v>
      </c>
      <c r="C93" s="10">
        <f t="shared" si="11"/>
        <v>0.2114699074074074</v>
      </c>
      <c r="D93" s="10">
        <f t="shared" si="12"/>
        <v>0.14190972222222223</v>
      </c>
      <c r="E93" s="10">
        <f t="shared" si="13"/>
        <v>1.6979166666666667E-2</v>
      </c>
      <c r="F93">
        <f t="shared" si="14"/>
        <v>50</v>
      </c>
      <c r="G93" s="12">
        <f t="shared" si="15"/>
        <v>0.62426796562859199</v>
      </c>
      <c r="H93">
        <v>1008603</v>
      </c>
      <c r="I93" t="str" cm="1">
        <f t="array" ref="I93">_xlfn.SWITCH(LEFT(A93,FIND("_",A93)-1),
"Mum","Mumbai",
"Hyd","Hyderabad",
"Del","Delhi",
"Ban","Bangalore",
"Che","Chennai",
"Pun","Pune",
"Kol","Kolkata",
"Unknown")</f>
        <v>Hyderabad</v>
      </c>
    </row>
    <row r="94" spans="1:9" x14ac:dyDescent="0.3">
      <c r="A94" t="str">
        <f>Breaktime!A94</f>
        <v>Hyd_Raji Abraham (1008604)</v>
      </c>
      <c r="B94" t="str">
        <f t="shared" si="16"/>
        <v>Raji Abraham</v>
      </c>
      <c r="C94" s="10">
        <f t="shared" si="11"/>
        <v>0.34075231481481483</v>
      </c>
      <c r="D94" s="10">
        <f t="shared" si="12"/>
        <v>0.19762731481481483</v>
      </c>
      <c r="E94" s="10">
        <f t="shared" si="13"/>
        <v>4.8240740740740744E-2</v>
      </c>
      <c r="F94">
        <f t="shared" si="14"/>
        <v>51</v>
      </c>
      <c r="G94" s="12">
        <f t="shared" si="15"/>
        <v>0.54373153085832704</v>
      </c>
      <c r="H94">
        <v>1008604</v>
      </c>
      <c r="I94" t="str" cm="1">
        <f t="array" ref="I94">_xlfn.SWITCH(LEFT(A94,FIND("_",A94)-1),
"Mum","Mumbai",
"Hyd","Hyderabad",
"Del","Delhi",
"Ban","Bangalore",
"Che","Chennai",
"Pun","Pune",
"Kol","Kolkata",
"Unknown")</f>
        <v>Hyderabad</v>
      </c>
    </row>
    <row r="95" spans="1:9" x14ac:dyDescent="0.3">
      <c r="A95" t="str">
        <f>Breaktime!A95</f>
        <v>Hyd_Rajshree Dhabekar (1008605)</v>
      </c>
      <c r="B95" t="str">
        <f t="shared" si="16"/>
        <v>Rajshree Dhabekar</v>
      </c>
      <c r="C95" s="10">
        <f t="shared" si="11"/>
        <v>0.34390046296296295</v>
      </c>
      <c r="D95" s="10">
        <v>0</v>
      </c>
      <c r="E95" s="10">
        <f t="shared" si="13"/>
        <v>0.34385416666666668</v>
      </c>
      <c r="F95">
        <f t="shared" si="14"/>
        <v>52</v>
      </c>
      <c r="G95" s="12">
        <f t="shared" si="15"/>
        <v>0</v>
      </c>
      <c r="H95">
        <v>1008605</v>
      </c>
      <c r="I95" t="str" cm="1">
        <f t="array" ref="I95">_xlfn.SWITCH(LEFT(A95,FIND("_",A95)-1),
"Mum","Mumbai",
"Hyd","Hyderabad",
"Del","Delhi",
"Ban","Bangalore",
"Che","Chennai",
"Pun","Pune",
"Kol","Kolkata",
"Unknown")</f>
        <v>Hyderabad</v>
      </c>
    </row>
    <row r="96" spans="1:9" x14ac:dyDescent="0.3">
      <c r="A96" t="str">
        <f>Breaktime!A96</f>
        <v>Hyd_Rakhi Jodhani (1008606)</v>
      </c>
      <c r="B96" t="str">
        <f t="shared" si="16"/>
        <v>Rakhi Jodhani</v>
      </c>
      <c r="C96" s="10">
        <f t="shared" si="11"/>
        <v>0.33532407407407405</v>
      </c>
      <c r="D96" s="10">
        <f t="shared" si="12"/>
        <v>5.0763888888888886E-2</v>
      </c>
      <c r="E96" s="10">
        <f t="shared" si="13"/>
        <v>0.27759259259259261</v>
      </c>
      <c r="F96">
        <f t="shared" si="14"/>
        <v>53</v>
      </c>
      <c r="G96" s="12">
        <f t="shared" si="15"/>
        <v>0.14431174927516199</v>
      </c>
      <c r="H96">
        <v>1008606</v>
      </c>
      <c r="I96" t="str" cm="1">
        <f t="array" ref="I96">_xlfn.SWITCH(LEFT(A96,FIND("_",A96)-1),
"Mum","Mumbai",
"Hyd","Hyderabad",
"Del","Delhi",
"Ban","Bangalore",
"Che","Chennai",
"Pun","Pune",
"Kol","Kolkata",
"Unknown")</f>
        <v>Hyderabad</v>
      </c>
    </row>
    <row r="97" spans="1:9" x14ac:dyDescent="0.3">
      <c r="A97" t="str">
        <f>Breaktime!A97</f>
        <v>Hyd_Ramji Prasad (1008607)</v>
      </c>
      <c r="B97" t="str">
        <f t="shared" si="16"/>
        <v>Ramji Prasad</v>
      </c>
      <c r="C97" s="10">
        <f t="shared" si="11"/>
        <v>0.34682870370370372</v>
      </c>
      <c r="D97" s="10">
        <f t="shared" si="12"/>
        <v>0.20351851851851852</v>
      </c>
      <c r="E97" s="10">
        <f t="shared" si="13"/>
        <v>5.122685185185185E-2</v>
      </c>
      <c r="F97">
        <f t="shared" si="14"/>
        <v>54</v>
      </c>
      <c r="G97" s="12">
        <f t="shared" si="15"/>
        <v>0.55259293866381898</v>
      </c>
      <c r="H97">
        <v>1008607</v>
      </c>
      <c r="I97" t="str" cm="1">
        <f t="array" ref="I97">_xlfn.SWITCH(LEFT(A97,FIND("_",A97)-1),
"Mum","Mumbai",
"Hyd","Hyderabad",
"Del","Delhi",
"Ban","Bangalore",
"Che","Chennai",
"Pun","Pune",
"Kol","Kolkata",
"Unknown")</f>
        <v>Hyderabad</v>
      </c>
    </row>
    <row r="98" spans="1:9" x14ac:dyDescent="0.3">
      <c r="A98" t="str">
        <f>Breaktime!A98</f>
        <v>Del_Rashid (1008608)</v>
      </c>
      <c r="B98" t="str">
        <f t="shared" si="16"/>
        <v>Rashid</v>
      </c>
      <c r="C98" s="10">
        <f t="shared" ref="C98:C129" si="17">TIMEVALUE(VLOOKUP(A98,Edata,2,FALSE))</f>
        <v>0.33483796296296298</v>
      </c>
      <c r="D98" s="10">
        <f t="shared" ref="D98:D129" si="18">TIMEVALUE(VLOOKUP(A98,Edata,3,FALSE))</f>
        <v>6.6759259259259254E-2</v>
      </c>
      <c r="E98" s="10">
        <f t="shared" ref="E98:E129" si="19">TIMEVALUE(VLOOKUP(A98,Bdata,9,FALSE))</f>
        <v>0.23973379629629629</v>
      </c>
      <c r="F98">
        <f t="shared" ref="F98:F129" si="20">VLOOKUP(A98,Odata,2,FALSE)</f>
        <v>55</v>
      </c>
      <c r="G98" s="12">
        <f t="shared" ref="G98:G129" si="21">VLOOKUP(A98,Edata,6,FALSE)</f>
        <v>0.18938817836156199</v>
      </c>
      <c r="H98">
        <v>1008608</v>
      </c>
      <c r="I98" t="str" cm="1">
        <f t="array" ref="I98">_xlfn.SWITCH(LEFT(A98,FIND("_",A98)-1),
"Mum","Mumbai",
"Hyd","Hyderabad",
"Del","Delhi",
"Ban","Bangalore",
"Che","Chennai",
"Pun","Pune",
"Kol","Kolkata",
"Unknown")</f>
        <v>Delhi</v>
      </c>
    </row>
    <row r="99" spans="1:9" x14ac:dyDescent="0.3">
      <c r="A99" t="str">
        <f>Breaktime!A99</f>
        <v>Del_Rashmi Gajbe (1008609)</v>
      </c>
      <c r="B99" t="str">
        <f t="shared" si="16"/>
        <v>Rashmi Gajbe</v>
      </c>
      <c r="C99" s="10">
        <f t="shared" si="17"/>
        <v>0.34770833333333334</v>
      </c>
      <c r="D99" s="10">
        <f t="shared" si="18"/>
        <v>0.1784375</v>
      </c>
      <c r="E99" s="10">
        <f t="shared" si="19"/>
        <v>8.6782407407407405E-2</v>
      </c>
      <c r="F99">
        <f t="shared" si="20"/>
        <v>56</v>
      </c>
      <c r="G99" s="12">
        <f t="shared" si="21"/>
        <v>0.47077424938419499</v>
      </c>
      <c r="H99">
        <v>1008609</v>
      </c>
      <c r="I99" t="str" cm="1">
        <f t="array" ref="I99">_xlfn.SWITCH(LEFT(A99,FIND("_",A99)-1),
"Mum","Mumbai",
"Hyd","Hyderabad",
"Del","Delhi",
"Ban","Bangalore",
"Che","Chennai",
"Pun","Pune",
"Kol","Kolkata",
"Unknown")</f>
        <v>Delhi</v>
      </c>
    </row>
    <row r="100" spans="1:9" x14ac:dyDescent="0.3">
      <c r="A100" t="str">
        <f>Breaktime!A100</f>
        <v>Del_Ravi Kumar (1008610)</v>
      </c>
      <c r="B100" t="str">
        <f t="shared" si="16"/>
        <v>Ravi Kumar</v>
      </c>
      <c r="C100" s="10">
        <f t="shared" si="17"/>
        <v>0.33384259259259258</v>
      </c>
      <c r="D100" s="10">
        <f t="shared" si="18"/>
        <v>0.19934027777777777</v>
      </c>
      <c r="E100" s="10">
        <f t="shared" si="19"/>
        <v>4.9467592592592591E-2</v>
      </c>
      <c r="F100">
        <f t="shared" si="20"/>
        <v>57</v>
      </c>
      <c r="G100" s="12">
        <f t="shared" si="21"/>
        <v>0.53862155040909698</v>
      </c>
      <c r="H100">
        <v>1008610</v>
      </c>
      <c r="I100" t="str" cm="1">
        <f t="array" ref="I100">_xlfn.SWITCH(LEFT(A100,FIND("_",A100)-1),
"Mum","Mumbai",
"Hyd","Hyderabad",
"Del","Delhi",
"Ban","Bangalore",
"Che","Chennai",
"Pun","Pune",
"Kol","Kolkata",
"Unknown")</f>
        <v>Delhi</v>
      </c>
    </row>
    <row r="101" spans="1:9" x14ac:dyDescent="0.3">
      <c r="A101" t="str">
        <f>Breaktime!A101</f>
        <v>Del_Ravinder Kaur (1008611)</v>
      </c>
      <c r="B101" t="str">
        <f t="shared" si="16"/>
        <v>Ravinder Kaur</v>
      </c>
      <c r="C101" s="10">
        <f t="shared" si="17"/>
        <v>0.3346412037037037</v>
      </c>
      <c r="D101" s="10">
        <f t="shared" si="18"/>
        <v>0.19371527777777778</v>
      </c>
      <c r="E101" s="10">
        <f t="shared" si="19"/>
        <v>4.8240740740740744E-2</v>
      </c>
      <c r="F101">
        <f t="shared" si="20"/>
        <v>58</v>
      </c>
      <c r="G101" s="12">
        <f t="shared" si="21"/>
        <v>0.53294365856189296</v>
      </c>
      <c r="H101">
        <v>1008611</v>
      </c>
      <c r="I101" t="str" cm="1">
        <f t="array" ref="I101">_xlfn.SWITCH(LEFT(A101,FIND("_",A101)-1),
"Mum","Mumbai",
"Hyd","Hyderabad",
"Del","Delhi",
"Ban","Bangalore",
"Che","Chennai",
"Pun","Pune",
"Kol","Kolkata",
"Unknown")</f>
        <v>Delhi</v>
      </c>
    </row>
    <row r="102" spans="1:9" x14ac:dyDescent="0.3">
      <c r="A102" t="str">
        <f>Breaktime!A102</f>
        <v>Del_Rekha Agarwal (1008612)</v>
      </c>
      <c r="B102" t="str">
        <f t="shared" si="16"/>
        <v>Rekha Agarwal</v>
      </c>
      <c r="C102" s="10">
        <f t="shared" si="17"/>
        <v>0.24574074074074073</v>
      </c>
      <c r="D102" s="10">
        <f t="shared" si="18"/>
        <v>0.12021990740740741</v>
      </c>
      <c r="E102" s="10">
        <f t="shared" si="19"/>
        <v>0.11229166666666666</v>
      </c>
      <c r="F102">
        <f t="shared" si="20"/>
        <v>59</v>
      </c>
      <c r="G102" s="12">
        <f t="shared" si="21"/>
        <v>0.41310286360211002</v>
      </c>
      <c r="H102">
        <v>1008612</v>
      </c>
      <c r="I102" t="str" cm="1">
        <f t="array" ref="I102">_xlfn.SWITCH(LEFT(A102,FIND("_",A102)-1),
"Mum","Mumbai",
"Hyd","Hyderabad",
"Del","Delhi",
"Ban","Bangalore",
"Che","Chennai",
"Pun","Pune",
"Kol","Kolkata",
"Unknown")</f>
        <v>Delhi</v>
      </c>
    </row>
    <row r="103" spans="1:9" x14ac:dyDescent="0.3">
      <c r="A103" t="str">
        <f>Breaktime!A103</f>
        <v>Del_Rekha Gupta (1008613)</v>
      </c>
      <c r="B103" t="str">
        <f t="shared" si="16"/>
        <v>Rekha Gupta</v>
      </c>
      <c r="C103" s="10">
        <f t="shared" si="17"/>
        <v>0.34446759259259258</v>
      </c>
      <c r="D103" s="10">
        <f t="shared" si="18"/>
        <v>0.18254629629629629</v>
      </c>
      <c r="E103" s="10">
        <f t="shared" si="19"/>
        <v>7.6817129629629624E-2</v>
      </c>
      <c r="F103">
        <f t="shared" si="20"/>
        <v>60</v>
      </c>
      <c r="G103" s="12">
        <f t="shared" si="21"/>
        <v>0.50483838451717</v>
      </c>
      <c r="H103">
        <v>1008613</v>
      </c>
      <c r="I103" t="str" cm="1">
        <f t="array" ref="I103">_xlfn.SWITCH(LEFT(A103,FIND("_",A103)-1),
"Mum","Mumbai",
"Hyd","Hyderabad",
"Del","Delhi",
"Ban","Bangalore",
"Che","Chennai",
"Pun","Pune",
"Kol","Kolkata",
"Unknown")</f>
        <v>Delhi</v>
      </c>
    </row>
    <row r="104" spans="1:9" x14ac:dyDescent="0.3">
      <c r="A104" t="str">
        <f>Breaktime!A104</f>
        <v>Del_Rekha Jain  (1008614)</v>
      </c>
      <c r="B104" t="str">
        <f t="shared" si="16"/>
        <v xml:space="preserve">Rekha Jain </v>
      </c>
      <c r="C104" s="10">
        <f t="shared" si="17"/>
        <v>0.34423611111111113</v>
      </c>
      <c r="D104" s="10">
        <f t="shared" si="18"/>
        <v>0.18436342592592592</v>
      </c>
      <c r="E104" s="10">
        <f t="shared" si="19"/>
        <v>6.7326388888888894E-2</v>
      </c>
      <c r="F104">
        <f t="shared" si="20"/>
        <v>61</v>
      </c>
      <c r="G104" s="12">
        <f t="shared" si="21"/>
        <v>0.52390558805729304</v>
      </c>
      <c r="H104">
        <v>1008614</v>
      </c>
      <c r="I104" t="str" cm="1">
        <f t="array" ref="I104">_xlfn.SWITCH(LEFT(A104,FIND("_",A104)-1),
"Mum","Mumbai",
"Hyd","Hyderabad",
"Del","Delhi",
"Ban","Bangalore",
"Che","Chennai",
"Pun","Pune",
"Kol","Kolkata",
"Unknown")</f>
        <v>Delhi</v>
      </c>
    </row>
    <row r="105" spans="1:9" x14ac:dyDescent="0.3">
      <c r="A105" t="str">
        <f>Breaktime!A105</f>
        <v>Del_Renu Pratap (1008615)</v>
      </c>
      <c r="B105" t="str">
        <f t="shared" si="16"/>
        <v>Renu Pratap</v>
      </c>
      <c r="C105" s="10">
        <f t="shared" si="17"/>
        <v>0.34479166666666666</v>
      </c>
      <c r="D105" s="10">
        <f t="shared" si="18"/>
        <v>0.10450231481481481</v>
      </c>
      <c r="E105" s="10">
        <f t="shared" si="19"/>
        <v>0.21383101851851852</v>
      </c>
      <c r="F105">
        <f t="shared" si="20"/>
        <v>62</v>
      </c>
      <c r="G105" s="12">
        <f t="shared" si="21"/>
        <v>0.25444780127559602</v>
      </c>
      <c r="H105">
        <v>1008615</v>
      </c>
      <c r="I105" t="str" cm="1">
        <f t="array" ref="I105">_xlfn.SWITCH(LEFT(A105,FIND("_",A105)-1),
"Mum","Mumbai",
"Hyd","Hyderabad",
"Del","Delhi",
"Ban","Bangalore",
"Che","Chennai",
"Pun","Pune",
"Kol","Kolkata",
"Unknown")</f>
        <v>Delhi</v>
      </c>
    </row>
    <row r="106" spans="1:9" x14ac:dyDescent="0.3">
      <c r="A106" t="str">
        <f>Breaktime!A106</f>
        <v>Del_Ritu Bhatnagar (1008616)</v>
      </c>
      <c r="B106" t="str">
        <f t="shared" si="16"/>
        <v>Ritu Bhatnagar</v>
      </c>
      <c r="C106" s="10">
        <f t="shared" si="17"/>
        <v>0.33458333333333334</v>
      </c>
      <c r="D106" s="10">
        <f t="shared" si="18"/>
        <v>0.20292824074074073</v>
      </c>
      <c r="E106" s="10">
        <f t="shared" si="19"/>
        <v>5.0925925925925923E-2</v>
      </c>
      <c r="F106">
        <f t="shared" si="20"/>
        <v>63</v>
      </c>
      <c r="G106" s="12">
        <f t="shared" si="21"/>
        <v>0.55517503805174995</v>
      </c>
      <c r="H106">
        <v>1008616</v>
      </c>
      <c r="I106" t="str" cm="1">
        <f t="array" ref="I106">_xlfn.SWITCH(LEFT(A106,FIND("_",A106)-1),
"Mum","Mumbai",
"Hyd","Hyderabad",
"Del","Delhi",
"Ban","Bangalore",
"Che","Chennai",
"Pun","Pune",
"Kol","Kolkata",
"Unknown")</f>
        <v>Delhi</v>
      </c>
    </row>
    <row r="107" spans="1:9" x14ac:dyDescent="0.3">
      <c r="A107" t="str">
        <f>Breaktime!A107</f>
        <v>Del_Rohit Nishchal (1008617)</v>
      </c>
      <c r="B107" t="str">
        <f t="shared" si="16"/>
        <v>Rohit Nishchal</v>
      </c>
      <c r="C107" s="10">
        <f t="shared" si="17"/>
        <v>0.34524305555555557</v>
      </c>
      <c r="D107" s="10">
        <v>0</v>
      </c>
      <c r="E107" s="10">
        <f t="shared" si="19"/>
        <v>0.34513888888888888</v>
      </c>
      <c r="F107">
        <f t="shared" si="20"/>
        <v>64</v>
      </c>
      <c r="G107" s="12">
        <f t="shared" si="21"/>
        <v>0</v>
      </c>
      <c r="H107">
        <v>1008617</v>
      </c>
      <c r="I107" t="str" cm="1">
        <f t="array" ref="I107">_xlfn.SWITCH(LEFT(A107,FIND("_",A107)-1),
"Mum","Mumbai",
"Hyd","Hyderabad",
"Del","Delhi",
"Ban","Bangalore",
"Che","Chennai",
"Pun","Pune",
"Kol","Kolkata",
"Unknown")</f>
        <v>Delhi</v>
      </c>
    </row>
    <row r="108" spans="1:9" x14ac:dyDescent="0.3">
      <c r="A108" t="str">
        <f>Breaktime!A108</f>
        <v>Del_Roli Bhatnagar (1008618)</v>
      </c>
      <c r="B108" t="str">
        <f t="shared" si="16"/>
        <v>Roli Bhatnagar</v>
      </c>
      <c r="C108" s="10">
        <f t="shared" si="17"/>
        <v>0.34424768518518517</v>
      </c>
      <c r="D108" s="10">
        <f t="shared" si="18"/>
        <v>0.17256944444444444</v>
      </c>
      <c r="E108" s="10">
        <f t="shared" si="19"/>
        <v>9.0462962962962967E-2</v>
      </c>
      <c r="F108">
        <f t="shared" si="20"/>
        <v>65</v>
      </c>
      <c r="G108" s="12">
        <f t="shared" si="21"/>
        <v>0.477120667047709</v>
      </c>
      <c r="H108">
        <v>1008618</v>
      </c>
      <c r="I108" t="str" cm="1">
        <f t="array" ref="I108">_xlfn.SWITCH(LEFT(A108,FIND("_",A108)-1),
"Mum","Mumbai",
"Hyd","Hyderabad",
"Del","Delhi",
"Ban","Bangalore",
"Che","Chennai",
"Pun","Pune",
"Kol","Kolkata",
"Unknown")</f>
        <v>Delhi</v>
      </c>
    </row>
    <row r="109" spans="1:9" x14ac:dyDescent="0.3">
      <c r="A109" t="str">
        <f>Breaktime!A109</f>
        <v>Del_Roma Rastogi (1008619)</v>
      </c>
      <c r="B109" t="str">
        <f t="shared" si="16"/>
        <v>Roma Rastogi</v>
      </c>
      <c r="C109" s="10">
        <f t="shared" si="17"/>
        <v>0.35488425925925926</v>
      </c>
      <c r="D109" s="10">
        <f t="shared" si="18"/>
        <v>0.2330787037037037</v>
      </c>
      <c r="E109" s="10">
        <f t="shared" si="19"/>
        <v>3.7349537037037035E-2</v>
      </c>
      <c r="F109">
        <f t="shared" si="20"/>
        <v>66</v>
      </c>
      <c r="G109" s="12">
        <f t="shared" si="21"/>
        <v>0.61917030852521004</v>
      </c>
      <c r="H109">
        <v>1008619</v>
      </c>
      <c r="I109" t="str" cm="1">
        <f t="array" ref="I109">_xlfn.SWITCH(LEFT(A109,FIND("_",A109)-1),
"Mum","Mumbai",
"Hyd","Hyderabad",
"Del","Delhi",
"Ban","Bangalore",
"Che","Chennai",
"Pun","Pune",
"Kol","Kolkata",
"Unknown")</f>
        <v>Delhi</v>
      </c>
    </row>
    <row r="110" spans="1:9" x14ac:dyDescent="0.3">
      <c r="A110" t="str">
        <f>Breaktime!A110</f>
        <v>Del_Roohi Haider (1008620)</v>
      </c>
      <c r="B110" t="str">
        <f t="shared" si="16"/>
        <v>Roohi Haider</v>
      </c>
      <c r="C110" s="10">
        <f t="shared" si="17"/>
        <v>0.33346064814814813</v>
      </c>
      <c r="D110" s="10">
        <f t="shared" si="18"/>
        <v>0.2029050925925926</v>
      </c>
      <c r="E110" s="10">
        <f t="shared" si="19"/>
        <v>4.8194444444444443E-2</v>
      </c>
      <c r="F110">
        <f t="shared" si="20"/>
        <v>67</v>
      </c>
      <c r="G110" s="12">
        <f t="shared" si="21"/>
        <v>0.55305265350039901</v>
      </c>
      <c r="H110">
        <v>1008620</v>
      </c>
      <c r="I110" t="str" cm="1">
        <f t="array" ref="I110">_xlfn.SWITCH(LEFT(A110,FIND("_",A110)-1),
"Mum","Mumbai",
"Hyd","Hyderabad",
"Del","Delhi",
"Ban","Bangalore",
"Che","Chennai",
"Pun","Pune",
"Kol","Kolkata",
"Unknown")</f>
        <v>Delhi</v>
      </c>
    </row>
    <row r="111" spans="1:9" x14ac:dyDescent="0.3">
      <c r="A111" t="str">
        <f>Breaktime!A111</f>
        <v>Del_Sajid Naqvi (1008621)</v>
      </c>
      <c r="B111" t="str">
        <f t="shared" si="16"/>
        <v>Sajid Naqvi</v>
      </c>
      <c r="C111" s="10">
        <f t="shared" si="17"/>
        <v>0.34430555555555553</v>
      </c>
      <c r="D111" s="10">
        <f t="shared" si="18"/>
        <v>0.20876157407407409</v>
      </c>
      <c r="E111" s="10">
        <f t="shared" si="19"/>
        <v>4.7685185185185185E-2</v>
      </c>
      <c r="F111">
        <f t="shared" si="20"/>
        <v>68</v>
      </c>
      <c r="G111" s="12">
        <f t="shared" si="21"/>
        <v>0.56195374478956595</v>
      </c>
      <c r="H111">
        <v>1008621</v>
      </c>
      <c r="I111" t="str" cm="1">
        <f t="array" ref="I111">_xlfn.SWITCH(LEFT(A111,FIND("_",A111)-1),
"Mum","Mumbai",
"Hyd","Hyderabad",
"Del","Delhi",
"Ban","Bangalore",
"Che","Chennai",
"Pun","Pune",
"Kol","Kolkata",
"Unknown")</f>
        <v>Delhi</v>
      </c>
    </row>
    <row r="112" spans="1:9" x14ac:dyDescent="0.3">
      <c r="A112" t="str">
        <f>Breaktime!A112</f>
        <v>Del_Salim (1008622)</v>
      </c>
      <c r="B112" t="str">
        <f t="shared" si="16"/>
        <v>Salim</v>
      </c>
      <c r="C112" s="10">
        <f t="shared" si="17"/>
        <v>0.34439814814814818</v>
      </c>
      <c r="D112" s="10">
        <f t="shared" si="18"/>
        <v>0.19284722222222223</v>
      </c>
      <c r="E112" s="10">
        <f t="shared" si="19"/>
        <v>8.2974537037037041E-2</v>
      </c>
      <c r="F112">
        <f t="shared" si="20"/>
        <v>69</v>
      </c>
      <c r="G112" s="12">
        <f t="shared" si="21"/>
        <v>0.48780077967468699</v>
      </c>
      <c r="H112">
        <v>1008622</v>
      </c>
      <c r="I112" t="str" cm="1">
        <f t="array" ref="I112">_xlfn.SWITCH(LEFT(A112,FIND("_",A112)-1),
"Mum","Mumbai",
"Hyd","Hyderabad",
"Del","Delhi",
"Ban","Bangalore",
"Che","Chennai",
"Pun","Pune",
"Kol","Kolkata",
"Unknown")</f>
        <v>Delhi</v>
      </c>
    </row>
    <row r="113" spans="1:9" x14ac:dyDescent="0.3">
      <c r="A113" t="str">
        <f>Breaktime!A113</f>
        <v>Del_Sanjay Hire (1008623)</v>
      </c>
      <c r="B113" t="str">
        <f t="shared" si="16"/>
        <v>Sanjay Hire</v>
      </c>
      <c r="C113" s="10">
        <f t="shared" si="17"/>
        <v>0.34435185185185185</v>
      </c>
      <c r="D113" s="10">
        <f t="shared" si="18"/>
        <v>0.20849537037037036</v>
      </c>
      <c r="E113" s="10">
        <f t="shared" si="19"/>
        <v>4.8414351851851854E-2</v>
      </c>
      <c r="F113">
        <f t="shared" si="20"/>
        <v>70</v>
      </c>
      <c r="G113" s="12">
        <f t="shared" si="21"/>
        <v>0.55414762032804499</v>
      </c>
      <c r="H113">
        <v>1008623</v>
      </c>
      <c r="I113" t="str" cm="1">
        <f t="array" ref="I113">_xlfn.SWITCH(LEFT(A113,FIND("_",A113)-1),
"Mum","Mumbai",
"Hyd","Hyderabad",
"Del","Delhi",
"Ban","Bangalore",
"Che","Chennai",
"Pun","Pune",
"Kol","Kolkata",
"Unknown")</f>
        <v>Delhi</v>
      </c>
    </row>
    <row r="114" spans="1:9" x14ac:dyDescent="0.3">
      <c r="A114" t="str">
        <f>Breaktime!A114</f>
        <v>Del_Sanjiv Subherwal (1008624)</v>
      </c>
      <c r="B114" t="str">
        <f t="shared" si="16"/>
        <v>Sanjiv Subherwal</v>
      </c>
      <c r="C114" s="10">
        <f t="shared" si="17"/>
        <v>0.33491898148148147</v>
      </c>
      <c r="D114" s="10">
        <f t="shared" si="18"/>
        <v>0.21258101851851852</v>
      </c>
      <c r="E114" s="10">
        <f t="shared" si="19"/>
        <v>4.8784722222222222E-2</v>
      </c>
      <c r="F114">
        <f t="shared" si="20"/>
        <v>71</v>
      </c>
      <c r="G114" s="12">
        <f t="shared" si="21"/>
        <v>0.58651553374572396</v>
      </c>
      <c r="H114">
        <v>1008624</v>
      </c>
      <c r="I114" t="str" cm="1">
        <f t="array" ref="I114">_xlfn.SWITCH(LEFT(A114,FIND("_",A114)-1),
"Mum","Mumbai",
"Hyd","Hyderabad",
"Del","Delhi",
"Ban","Bangalore",
"Che","Chennai",
"Pun","Pune",
"Kol","Kolkata",
"Unknown")</f>
        <v>Delhi</v>
      </c>
    </row>
    <row r="115" spans="1:9" x14ac:dyDescent="0.3">
      <c r="A115" t="str">
        <f>Breaktime!A115</f>
        <v>Del_Sanju Ramdas (1008625)</v>
      </c>
      <c r="B115" t="str">
        <f t="shared" si="16"/>
        <v>Sanju Ramdas</v>
      </c>
      <c r="C115" s="10">
        <f t="shared" si="17"/>
        <v>0.34442129629629631</v>
      </c>
      <c r="D115" s="10">
        <f t="shared" si="18"/>
        <v>0.22203703703703703</v>
      </c>
      <c r="E115" s="10">
        <f t="shared" si="19"/>
        <v>5.1342592592592592E-2</v>
      </c>
      <c r="F115">
        <f t="shared" si="20"/>
        <v>72</v>
      </c>
      <c r="G115" s="12">
        <f t="shared" si="21"/>
        <v>0.58165871362322696</v>
      </c>
      <c r="H115">
        <v>1008625</v>
      </c>
      <c r="I115" t="str" cm="1">
        <f t="array" ref="I115">_xlfn.SWITCH(LEFT(A115,FIND("_",A115)-1),
"Mum","Mumbai",
"Hyd","Hyderabad",
"Del","Delhi",
"Ban","Bangalore",
"Che","Chennai",
"Pun","Pune",
"Kol","Kolkata",
"Unknown")</f>
        <v>Delhi</v>
      </c>
    </row>
    <row r="116" spans="1:9" x14ac:dyDescent="0.3">
      <c r="A116" t="str">
        <f>Breaktime!A116</f>
        <v>Del_Santosh Kumar (1008626)</v>
      </c>
      <c r="B116" t="str">
        <f t="shared" si="16"/>
        <v>Santosh Kumar</v>
      </c>
      <c r="C116" s="10">
        <f t="shared" si="17"/>
        <v>0.33370370370370372</v>
      </c>
      <c r="D116" s="10">
        <f t="shared" si="18"/>
        <v>0.21053240740740742</v>
      </c>
      <c r="E116" s="10">
        <f t="shared" si="19"/>
        <v>4.8472222222222222E-2</v>
      </c>
      <c r="F116">
        <f t="shared" si="20"/>
        <v>73</v>
      </c>
      <c r="G116" s="12">
        <f t="shared" si="21"/>
        <v>0.59073251942286398</v>
      </c>
      <c r="H116">
        <v>1008626</v>
      </c>
      <c r="I116" t="str" cm="1">
        <f t="array" ref="I116">_xlfn.SWITCH(LEFT(A116,FIND("_",A116)-1),
"Mum","Mumbai",
"Hyd","Hyderabad",
"Del","Delhi",
"Ban","Bangalore",
"Che","Chennai",
"Pun","Pune",
"Kol","Kolkata",
"Unknown")</f>
        <v>Delhi</v>
      </c>
    </row>
    <row r="117" spans="1:9" x14ac:dyDescent="0.3">
      <c r="A117" t="str">
        <f>Breaktime!A117</f>
        <v>Del_Santosh Kumar (1008627)</v>
      </c>
      <c r="B117" t="str">
        <f t="shared" si="16"/>
        <v>Santosh Kumar</v>
      </c>
      <c r="C117" s="10">
        <f t="shared" si="17"/>
        <v>0.34518518518518521</v>
      </c>
      <c r="D117" s="10">
        <f t="shared" si="18"/>
        <v>0.21524305555555556</v>
      </c>
      <c r="E117" s="10">
        <f t="shared" si="19"/>
        <v>4.9282407407407407E-2</v>
      </c>
      <c r="F117">
        <f t="shared" si="20"/>
        <v>74</v>
      </c>
      <c r="G117" s="12">
        <f t="shared" si="21"/>
        <v>0.58640692060085797</v>
      </c>
      <c r="H117">
        <v>1008627</v>
      </c>
      <c r="I117" t="str" cm="1">
        <f t="array" ref="I117">_xlfn.SWITCH(LEFT(A117,FIND("_",A117)-1),
"Mum","Mumbai",
"Hyd","Hyderabad",
"Del","Delhi",
"Ban","Bangalore",
"Che","Chennai",
"Pun","Pune",
"Kol","Kolkata",
"Unknown")</f>
        <v>Delhi</v>
      </c>
    </row>
    <row r="118" spans="1:9" x14ac:dyDescent="0.3">
      <c r="A118" t="str">
        <f>Breaktime!A118</f>
        <v>Del_Santosh Kumar (1008628)</v>
      </c>
      <c r="B118" t="str">
        <f t="shared" si="16"/>
        <v>Santosh Kumar</v>
      </c>
      <c r="C118" s="10">
        <f t="shared" si="17"/>
        <v>0.3354050925925926</v>
      </c>
      <c r="D118" s="10">
        <f t="shared" si="18"/>
        <v>0.19744212962962962</v>
      </c>
      <c r="E118" s="10">
        <f t="shared" si="19"/>
        <v>5.0011574074074076E-2</v>
      </c>
      <c r="F118">
        <f t="shared" si="20"/>
        <v>75</v>
      </c>
      <c r="G118" s="12">
        <f t="shared" si="21"/>
        <v>0.54653369681493502</v>
      </c>
      <c r="H118">
        <v>1008628</v>
      </c>
      <c r="I118" t="str" cm="1">
        <f t="array" ref="I118">_xlfn.SWITCH(LEFT(A118,FIND("_",A118)-1),
"Mum","Mumbai",
"Hyd","Hyderabad",
"Del","Delhi",
"Ban","Bangalore",
"Che","Chennai",
"Pun","Pune",
"Kol","Kolkata",
"Unknown")</f>
        <v>Delhi</v>
      </c>
    </row>
    <row r="119" spans="1:9" x14ac:dyDescent="0.3">
      <c r="A119" t="str">
        <f>Breaktime!A119</f>
        <v>Del_Sapna Sharma (1008629)</v>
      </c>
      <c r="B119" t="str">
        <f t="shared" si="16"/>
        <v>Sapna Sharma</v>
      </c>
      <c r="C119" s="10">
        <f t="shared" si="17"/>
        <v>0.33627314814814813</v>
      </c>
      <c r="D119" s="10">
        <f t="shared" si="18"/>
        <v>0.18991898148148148</v>
      </c>
      <c r="E119" s="10">
        <f t="shared" si="19"/>
        <v>6.4317129629629627E-2</v>
      </c>
      <c r="F119">
        <f t="shared" si="20"/>
        <v>76</v>
      </c>
      <c r="G119" s="12">
        <f t="shared" si="21"/>
        <v>0.53238796723342696</v>
      </c>
      <c r="H119">
        <v>1008629</v>
      </c>
      <c r="I119" t="str" cm="1">
        <f t="array" ref="I119">_xlfn.SWITCH(LEFT(A119,FIND("_",A119)-1),
"Mum","Mumbai",
"Hyd","Hyderabad",
"Del","Delhi",
"Ban","Bangalore",
"Che","Chennai",
"Pun","Pune",
"Kol","Kolkata",
"Unknown")</f>
        <v>Delhi</v>
      </c>
    </row>
    <row r="120" spans="1:9" x14ac:dyDescent="0.3">
      <c r="A120" t="str">
        <f>Breaktime!A120</f>
        <v>Del_Saroj Parita (1008630)</v>
      </c>
      <c r="B120" t="str">
        <f t="shared" si="16"/>
        <v>Saroj Parita</v>
      </c>
      <c r="C120" s="10">
        <f t="shared" si="17"/>
        <v>0.33471064814814816</v>
      </c>
      <c r="D120" s="10">
        <f t="shared" si="18"/>
        <v>0.18868055555555555</v>
      </c>
      <c r="E120" s="10">
        <f t="shared" si="19"/>
        <v>7.3344907407407414E-2</v>
      </c>
      <c r="F120">
        <f t="shared" si="20"/>
        <v>77</v>
      </c>
      <c r="G120" s="12">
        <f t="shared" si="21"/>
        <v>0.47020989660776702</v>
      </c>
      <c r="H120">
        <v>1008630</v>
      </c>
      <c r="I120" t="str" cm="1">
        <f t="array" ref="I120">_xlfn.SWITCH(LEFT(A120,FIND("_",A120)-1),
"Mum","Mumbai",
"Hyd","Hyderabad",
"Del","Delhi",
"Ban","Bangalore",
"Che","Chennai",
"Pun","Pune",
"Kol","Kolkata",
"Unknown")</f>
        <v>Delhi</v>
      </c>
    </row>
    <row r="121" spans="1:9" x14ac:dyDescent="0.3">
      <c r="A121" t="str">
        <f>Breaktime!A121</f>
        <v>Del_Shailaja Kamal (1008631)</v>
      </c>
      <c r="B121" t="str">
        <f t="shared" si="16"/>
        <v>Shailaja Kamal</v>
      </c>
      <c r="C121" s="10">
        <f t="shared" si="17"/>
        <v>0.33974537037037039</v>
      </c>
      <c r="D121" s="10">
        <f t="shared" si="18"/>
        <v>0.20261574074074074</v>
      </c>
      <c r="E121" s="10">
        <f t="shared" si="19"/>
        <v>4.7754629629629633E-2</v>
      </c>
      <c r="F121">
        <f t="shared" si="20"/>
        <v>78</v>
      </c>
      <c r="G121" s="12">
        <f t="shared" si="21"/>
        <v>0.54633099407235797</v>
      </c>
      <c r="H121">
        <v>1008631</v>
      </c>
      <c r="I121" t="str" cm="1">
        <f t="array" ref="I121">_xlfn.SWITCH(LEFT(A121,FIND("_",A121)-1),
"Mum","Mumbai",
"Hyd","Hyderabad",
"Del","Delhi",
"Ban","Bangalore",
"Che","Chennai",
"Pun","Pune",
"Kol","Kolkata",
"Unknown")</f>
        <v>Delhi</v>
      </c>
    </row>
    <row r="122" spans="1:9" x14ac:dyDescent="0.3">
      <c r="A122" t="str">
        <f>Breaktime!A122</f>
        <v>Del_Shailendra Barge (1008632)</v>
      </c>
      <c r="B122" t="str">
        <f t="shared" si="16"/>
        <v>Shailendra Barge</v>
      </c>
      <c r="C122" s="10">
        <f t="shared" si="17"/>
        <v>0.34557870370370369</v>
      </c>
      <c r="D122" s="10">
        <f t="shared" si="18"/>
        <v>0.14315972222222223</v>
      </c>
      <c r="E122" s="10">
        <f t="shared" si="19"/>
        <v>0.15493055555555554</v>
      </c>
      <c r="F122">
        <f t="shared" si="20"/>
        <v>79</v>
      </c>
      <c r="G122" s="12">
        <f t="shared" si="21"/>
        <v>0.38820416638756799</v>
      </c>
      <c r="H122">
        <v>1008632</v>
      </c>
      <c r="I122" t="str" cm="1">
        <f t="array" ref="I122">_xlfn.SWITCH(LEFT(A122,FIND("_",A122)-1),
"Mum","Mumbai",
"Hyd","Hyderabad",
"Del","Delhi",
"Ban","Bangalore",
"Che","Chennai",
"Pun","Pune",
"Kol","Kolkata",
"Unknown")</f>
        <v>Delhi</v>
      </c>
    </row>
    <row r="123" spans="1:9" x14ac:dyDescent="0.3">
      <c r="A123" t="str">
        <f>Breaktime!A123</f>
        <v>Del_Shankar Attendant (1008633)</v>
      </c>
      <c r="B123" t="str">
        <f t="shared" si="16"/>
        <v>Shankar Attendant</v>
      </c>
      <c r="C123" s="10">
        <f t="shared" si="17"/>
        <v>0.33189814814814816</v>
      </c>
      <c r="D123" s="10">
        <f t="shared" si="18"/>
        <v>0.1439236111111111</v>
      </c>
      <c r="E123" s="10">
        <f t="shared" si="19"/>
        <v>0.13547453703703705</v>
      </c>
      <c r="F123">
        <f t="shared" si="20"/>
        <v>80</v>
      </c>
      <c r="G123" s="12">
        <f t="shared" si="21"/>
        <v>0.40277584042404802</v>
      </c>
      <c r="H123">
        <v>1008633</v>
      </c>
      <c r="I123" t="str" cm="1">
        <f t="array" ref="I123">_xlfn.SWITCH(LEFT(A123,FIND("_",A123)-1),
"Mum","Mumbai",
"Hyd","Hyderabad",
"Del","Delhi",
"Ban","Bangalore",
"Che","Chennai",
"Pun","Pune",
"Kol","Kolkata",
"Unknown")</f>
        <v>Delhi</v>
      </c>
    </row>
    <row r="124" spans="1:9" x14ac:dyDescent="0.3">
      <c r="A124" t="str">
        <f>Breaktime!A124</f>
        <v>Del_Shashikant Tiwari (1008634)</v>
      </c>
      <c r="B124" t="str">
        <f t="shared" si="16"/>
        <v>Shashikant Tiwari</v>
      </c>
      <c r="C124" s="10">
        <f t="shared" si="17"/>
        <v>0.34369212962962964</v>
      </c>
      <c r="D124" s="10">
        <f t="shared" si="18"/>
        <v>0.22164351851851852</v>
      </c>
      <c r="E124" s="10">
        <f t="shared" si="19"/>
        <v>4.8599537037037038E-2</v>
      </c>
      <c r="F124">
        <f t="shared" si="20"/>
        <v>81</v>
      </c>
      <c r="G124" s="12">
        <f t="shared" si="21"/>
        <v>0.54352584610203702</v>
      </c>
      <c r="H124">
        <v>1008634</v>
      </c>
      <c r="I124" t="str" cm="1">
        <f t="array" ref="I124">_xlfn.SWITCH(LEFT(A124,FIND("_",A124)-1),
"Mum","Mumbai",
"Hyd","Hyderabad",
"Del","Delhi",
"Ban","Bangalore",
"Che","Chennai",
"Pun","Pune",
"Kol","Kolkata",
"Unknown")</f>
        <v>Delhi</v>
      </c>
    </row>
    <row r="125" spans="1:9" x14ac:dyDescent="0.3">
      <c r="A125" t="str">
        <f>Breaktime!A125</f>
        <v>Del_Sheeba Joseph (1008635)</v>
      </c>
      <c r="B125" t="str">
        <f t="shared" si="16"/>
        <v>Sheeba Joseph</v>
      </c>
      <c r="C125" s="10">
        <f t="shared" si="17"/>
        <v>0.3548263888888889</v>
      </c>
      <c r="D125" s="10">
        <f t="shared" si="18"/>
        <v>0.15355324074074075</v>
      </c>
      <c r="E125" s="10">
        <f t="shared" si="19"/>
        <v>3.8645833333333331E-2</v>
      </c>
      <c r="F125">
        <f t="shared" si="20"/>
        <v>82</v>
      </c>
      <c r="G125" s="12">
        <f t="shared" si="21"/>
        <v>0.28371986821932998</v>
      </c>
      <c r="H125">
        <v>1008635</v>
      </c>
      <c r="I125" t="str" cm="1">
        <f t="array" ref="I125">_xlfn.SWITCH(LEFT(A125,FIND("_",A125)-1),
"Mum","Mumbai",
"Hyd","Hyderabad",
"Del","Delhi",
"Ban","Bangalore",
"Che","Chennai",
"Pun","Pune",
"Kol","Kolkata",
"Unknown")</f>
        <v>Delhi</v>
      </c>
    </row>
    <row r="126" spans="1:9" x14ac:dyDescent="0.3">
      <c r="A126" t="str">
        <f>Breaktime!A126</f>
        <v>Del_Sheena Joseph (1008636)</v>
      </c>
      <c r="B126" t="str">
        <f t="shared" si="16"/>
        <v>Sheena Joseph</v>
      </c>
      <c r="C126" s="10">
        <f t="shared" si="17"/>
        <v>0.36775462962962963</v>
      </c>
      <c r="D126" s="10">
        <f t="shared" si="18"/>
        <v>0.21557870370370372</v>
      </c>
      <c r="E126" s="10">
        <f t="shared" si="19"/>
        <v>7.048611111111111E-2</v>
      </c>
      <c r="F126">
        <f t="shared" si="20"/>
        <v>83</v>
      </c>
      <c r="G126" s="12">
        <f t="shared" si="21"/>
        <v>0.56196890539434796</v>
      </c>
      <c r="H126">
        <v>1008636</v>
      </c>
      <c r="I126" t="str" cm="1">
        <f t="array" ref="I126">_xlfn.SWITCH(LEFT(A126,FIND("_",A126)-1),
"Mum","Mumbai",
"Hyd","Hyderabad",
"Del","Delhi",
"Ban","Bangalore",
"Che","Chennai",
"Pun","Pune",
"Kol","Kolkata",
"Unknown")</f>
        <v>Delhi</v>
      </c>
    </row>
    <row r="127" spans="1:9" x14ac:dyDescent="0.3">
      <c r="A127" t="str">
        <f>Breaktime!A127</f>
        <v>Del_Shephali Jain (1008637)</v>
      </c>
      <c r="B127" t="str">
        <f t="shared" si="16"/>
        <v>Shephali Jain</v>
      </c>
      <c r="C127" s="10">
        <f t="shared" si="17"/>
        <v>0.35119212962962965</v>
      </c>
      <c r="D127" s="10">
        <f t="shared" si="18"/>
        <v>0.15380787037037036</v>
      </c>
      <c r="E127" s="10">
        <f t="shared" si="19"/>
        <v>0.14153935185185185</v>
      </c>
      <c r="F127">
        <f t="shared" si="20"/>
        <v>84</v>
      </c>
      <c r="G127" s="12">
        <f t="shared" si="21"/>
        <v>0.40332201825791802</v>
      </c>
      <c r="H127">
        <v>1008637</v>
      </c>
      <c r="I127" t="str" cm="1">
        <f t="array" ref="I127">_xlfn.SWITCH(LEFT(A127,FIND("_",A127)-1),
"Mum","Mumbai",
"Hyd","Hyderabad",
"Del","Delhi",
"Ban","Bangalore",
"Che","Chennai",
"Pun","Pune",
"Kol","Kolkata",
"Unknown")</f>
        <v>Delhi</v>
      </c>
    </row>
    <row r="128" spans="1:9" x14ac:dyDescent="0.3">
      <c r="A128" t="str">
        <f>Breaktime!A128</f>
        <v>Del_Shivji Prasad (1008638)</v>
      </c>
      <c r="B128" t="str">
        <f t="shared" si="16"/>
        <v>Shivji Prasad</v>
      </c>
      <c r="C128" s="10">
        <f t="shared" si="17"/>
        <v>0.34143518518518517</v>
      </c>
      <c r="D128" s="10">
        <f t="shared" si="18"/>
        <v>0.17545138888888889</v>
      </c>
      <c r="E128" s="10">
        <f t="shared" si="19"/>
        <v>9.5694444444444443E-2</v>
      </c>
      <c r="F128">
        <f t="shared" si="20"/>
        <v>85</v>
      </c>
      <c r="G128" s="12">
        <f t="shared" si="21"/>
        <v>0.43796610169491501</v>
      </c>
      <c r="H128">
        <v>1008638</v>
      </c>
      <c r="I128" t="str" cm="1">
        <f t="array" ref="I128">_xlfn.SWITCH(LEFT(A128,FIND("_",A128)-1),
"Mum","Mumbai",
"Hyd","Hyderabad",
"Del","Delhi",
"Ban","Bangalore",
"Che","Chennai",
"Pun","Pune",
"Kol","Kolkata",
"Unknown")</f>
        <v>Delhi</v>
      </c>
    </row>
    <row r="129" spans="1:9" x14ac:dyDescent="0.3">
      <c r="A129" t="str">
        <f>Breaktime!A129</f>
        <v>Del_Shubhanjali Joshi (1008639)</v>
      </c>
      <c r="B129" t="str">
        <f t="shared" si="16"/>
        <v>Shubhanjali Joshi</v>
      </c>
      <c r="C129" s="10">
        <f t="shared" si="17"/>
        <v>0.34533564814814816</v>
      </c>
      <c r="D129" s="10">
        <f t="shared" si="18"/>
        <v>0.20476851851851852</v>
      </c>
      <c r="E129" s="10">
        <f t="shared" si="19"/>
        <v>5.5231481481481479E-2</v>
      </c>
      <c r="F129">
        <f t="shared" si="20"/>
        <v>86</v>
      </c>
      <c r="G129" s="12">
        <f t="shared" si="21"/>
        <v>0.55581995508931903</v>
      </c>
      <c r="H129">
        <v>1008639</v>
      </c>
      <c r="I129" t="str" cm="1">
        <f t="array" ref="I129">_xlfn.SWITCH(LEFT(A129,FIND("_",A129)-1),
"Mum","Mumbai",
"Hyd","Hyderabad",
"Del","Delhi",
"Ban","Bangalore",
"Che","Chennai",
"Pun","Pune",
"Kol","Kolkata",
"Unknown")</f>
        <v>Delhi</v>
      </c>
    </row>
    <row r="130" spans="1:9" x14ac:dyDescent="0.3">
      <c r="A130" t="str">
        <f>Breaktime!A130</f>
        <v>Del_Shyamal Malakar (1008640)</v>
      </c>
      <c r="B130" t="str">
        <f t="shared" si="16"/>
        <v>Shyamal Malakar</v>
      </c>
      <c r="C130" s="10">
        <f t="shared" ref="C130:C150" si="22">TIMEVALUE(VLOOKUP(A130,Edata,2,FALSE))</f>
        <v>0.34416666666666668</v>
      </c>
      <c r="D130" s="10">
        <f t="shared" ref="D130:D150" si="23">TIMEVALUE(VLOOKUP(A130,Edata,3,FALSE))</f>
        <v>0.12054398148148149</v>
      </c>
      <c r="E130" s="10">
        <f t="shared" ref="E130:E150" si="24">TIMEVALUE(VLOOKUP(A130,Bdata,9,FALSE))</f>
        <v>0.19140046296296295</v>
      </c>
      <c r="F130">
        <f t="shared" ref="F130:F150" si="25">VLOOKUP(A130,Odata,2,FALSE)</f>
        <v>87</v>
      </c>
      <c r="G130" s="12">
        <f t="shared" ref="G130:G150" si="26">VLOOKUP(A130,Edata,6,FALSE)</f>
        <v>0.326035781544256</v>
      </c>
      <c r="H130">
        <v>1008640</v>
      </c>
      <c r="I130" t="str" cm="1">
        <f t="array" ref="I130">_xlfn.SWITCH(LEFT(A130,FIND("_",A130)-1),
"Mum","Mumbai",
"Hyd","Hyderabad",
"Del","Delhi",
"Ban","Bangalore",
"Che","Chennai",
"Pun","Pune",
"Kol","Kolkata",
"Unknown")</f>
        <v>Delhi</v>
      </c>
    </row>
    <row r="131" spans="1:9" x14ac:dyDescent="0.3">
      <c r="A131" t="str">
        <f>Breaktime!A131</f>
        <v>Del_Sneh Khan (1008641)</v>
      </c>
      <c r="B131" t="str">
        <f t="shared" ref="B131:B150" si="27">MID(A131,FIND("_",A131,1)+1,FIND("(",A131,1)-FIND("_",A131,1)-2)</f>
        <v>Sneh Khan</v>
      </c>
      <c r="C131" s="10">
        <f t="shared" si="22"/>
        <v>0.33975694444444443</v>
      </c>
      <c r="D131" s="10">
        <f t="shared" si="23"/>
        <v>0.21278935185185185</v>
      </c>
      <c r="E131" s="10">
        <f t="shared" si="24"/>
        <v>4.8506944444444443E-2</v>
      </c>
      <c r="F131">
        <f t="shared" si="25"/>
        <v>88</v>
      </c>
      <c r="G131" s="12">
        <f t="shared" si="26"/>
        <v>0.57404190086867701</v>
      </c>
      <c r="H131">
        <v>1008641</v>
      </c>
      <c r="I131" t="str" cm="1">
        <f t="array" ref="I131">_xlfn.SWITCH(LEFT(A131,FIND("_",A131)-1),
"Mum","Mumbai",
"Hyd","Hyderabad",
"Del","Delhi",
"Ban","Bangalore",
"Che","Chennai",
"Pun","Pune",
"Kol","Kolkata",
"Unknown")</f>
        <v>Delhi</v>
      </c>
    </row>
    <row r="132" spans="1:9" x14ac:dyDescent="0.3">
      <c r="A132" t="str">
        <f>Breaktime!A132</f>
        <v>Del_Sonaram Munda (1008642)</v>
      </c>
      <c r="B132" t="str">
        <f t="shared" si="27"/>
        <v>Sonaram Munda</v>
      </c>
      <c r="C132" s="10">
        <f t="shared" si="22"/>
        <v>0.33380787037037035</v>
      </c>
      <c r="D132" s="10">
        <f t="shared" si="23"/>
        <v>0.1744212962962963</v>
      </c>
      <c r="E132" s="10">
        <f t="shared" si="24"/>
        <v>8.1423611111111113E-2</v>
      </c>
      <c r="F132">
        <f t="shared" si="25"/>
        <v>89</v>
      </c>
      <c r="G132" s="12">
        <f t="shared" si="26"/>
        <v>0.45359037481363301</v>
      </c>
      <c r="H132">
        <v>1008642</v>
      </c>
      <c r="I132" t="str" cm="1">
        <f t="array" ref="I132">_xlfn.SWITCH(LEFT(A132,FIND("_",A132)-1),
"Mum","Mumbai",
"Hyd","Hyderabad",
"Del","Delhi",
"Ban","Bangalore",
"Che","Chennai",
"Pun","Pune",
"Kol","Kolkata",
"Unknown")</f>
        <v>Delhi</v>
      </c>
    </row>
    <row r="133" spans="1:9" x14ac:dyDescent="0.3">
      <c r="A133" t="str">
        <f>Breaktime!A133</f>
        <v>Del_Sudama Kumar (1008643)</v>
      </c>
      <c r="B133" t="str">
        <f t="shared" si="27"/>
        <v>Sudama Kumar</v>
      </c>
      <c r="C133" s="10">
        <f t="shared" si="22"/>
        <v>0.34012731481481484</v>
      </c>
      <c r="D133" s="10">
        <f t="shared" si="23"/>
        <v>0.11028935185185185</v>
      </c>
      <c r="E133" s="10">
        <f t="shared" si="24"/>
        <v>0.19189814814814815</v>
      </c>
      <c r="F133">
        <f t="shared" si="25"/>
        <v>90</v>
      </c>
      <c r="G133" s="12">
        <f t="shared" si="26"/>
        <v>0.29689998979140397</v>
      </c>
      <c r="H133">
        <v>1008643</v>
      </c>
      <c r="I133" t="str" cm="1">
        <f t="array" ref="I133">_xlfn.SWITCH(LEFT(A133,FIND("_",A133)-1),
"Mum","Mumbai",
"Hyd","Hyderabad",
"Del","Delhi",
"Ban","Bangalore",
"Che","Chennai",
"Pun","Pune",
"Kol","Kolkata",
"Unknown")</f>
        <v>Delhi</v>
      </c>
    </row>
    <row r="134" spans="1:9" x14ac:dyDescent="0.3">
      <c r="A134" t="str">
        <f>Breaktime!A134</f>
        <v>Del_Sudhir Kumar (1008644)</v>
      </c>
      <c r="B134" t="str">
        <f t="shared" si="27"/>
        <v>Sudhir Kumar</v>
      </c>
      <c r="C134" s="10">
        <f t="shared" si="22"/>
        <v>0.33354166666666668</v>
      </c>
      <c r="D134" s="10">
        <f t="shared" si="23"/>
        <v>0.19138888888888889</v>
      </c>
      <c r="E134" s="10">
        <f t="shared" si="24"/>
        <v>5.1666666666666666E-2</v>
      </c>
      <c r="F134">
        <f t="shared" si="25"/>
        <v>91</v>
      </c>
      <c r="G134" s="12">
        <f t="shared" si="26"/>
        <v>0.55729058227496697</v>
      </c>
      <c r="H134">
        <v>1008644</v>
      </c>
      <c r="I134" t="str" cm="1">
        <f t="array" ref="I134">_xlfn.SWITCH(LEFT(A134,FIND("_",A134)-1),
"Mum","Mumbai",
"Hyd","Hyderabad",
"Del","Delhi",
"Ban","Bangalore",
"Che","Chennai",
"Pun","Pune",
"Kol","Kolkata",
"Unknown")</f>
        <v>Delhi</v>
      </c>
    </row>
    <row r="135" spans="1:9" x14ac:dyDescent="0.3">
      <c r="A135" t="str">
        <f>Breaktime!A135</f>
        <v>Del_Sunil Kumar (1008645)</v>
      </c>
      <c r="B135" t="str">
        <f t="shared" si="27"/>
        <v>Sunil Kumar</v>
      </c>
      <c r="C135" s="10">
        <f t="shared" si="22"/>
        <v>0.3357175925925926</v>
      </c>
      <c r="D135" s="10">
        <f t="shared" si="23"/>
        <v>0.12403935185185185</v>
      </c>
      <c r="E135" s="10">
        <f t="shared" si="24"/>
        <v>0.1645486111111111</v>
      </c>
      <c r="F135">
        <f t="shared" si="25"/>
        <v>92</v>
      </c>
      <c r="G135" s="12">
        <f t="shared" si="26"/>
        <v>0.33279321519685601</v>
      </c>
      <c r="H135">
        <v>1008645</v>
      </c>
      <c r="I135" t="str" cm="1">
        <f t="array" ref="I135">_xlfn.SWITCH(LEFT(A135,FIND("_",A135)-1),
"Mum","Mumbai",
"Hyd","Hyderabad",
"Del","Delhi",
"Ban","Bangalore",
"Che","Chennai",
"Pun","Pune",
"Kol","Kolkata",
"Unknown")</f>
        <v>Delhi</v>
      </c>
    </row>
    <row r="136" spans="1:9" x14ac:dyDescent="0.3">
      <c r="A136" t="str">
        <f>Breaktime!A136</f>
        <v>Del_Sunil Kumar (1008646)</v>
      </c>
      <c r="B136" t="str">
        <f t="shared" si="27"/>
        <v>Sunil Kumar</v>
      </c>
      <c r="C136" s="10">
        <f t="shared" si="22"/>
        <v>0.33687499999999998</v>
      </c>
      <c r="D136" s="10">
        <f t="shared" si="23"/>
        <v>0.17017361111111112</v>
      </c>
      <c r="E136" s="10">
        <f t="shared" si="24"/>
        <v>9.5034722222222229E-2</v>
      </c>
      <c r="F136">
        <f t="shared" si="25"/>
        <v>93</v>
      </c>
      <c r="G136" s="12">
        <f t="shared" si="26"/>
        <v>0.472308115165258</v>
      </c>
      <c r="H136">
        <v>1008646</v>
      </c>
      <c r="I136" t="str" cm="1">
        <f t="array" ref="I136">_xlfn.SWITCH(LEFT(A136,FIND("_",A136)-1),
"Mum","Mumbai",
"Hyd","Hyderabad",
"Del","Delhi",
"Ban","Bangalore",
"Che","Chennai",
"Pun","Pune",
"Kol","Kolkata",
"Unknown")</f>
        <v>Delhi</v>
      </c>
    </row>
    <row r="137" spans="1:9" x14ac:dyDescent="0.3">
      <c r="A137" t="str">
        <f>Breaktime!A137</f>
        <v>Del_Sunita Chawla (1008647)</v>
      </c>
      <c r="B137" t="str">
        <f t="shared" si="27"/>
        <v>Sunita Chawla</v>
      </c>
      <c r="C137" s="10">
        <f t="shared" si="22"/>
        <v>0.33709490740740738</v>
      </c>
      <c r="D137" s="10">
        <f t="shared" si="23"/>
        <v>0.18885416666666666</v>
      </c>
      <c r="E137" s="10">
        <f t="shared" si="24"/>
        <v>8.7997685185185179E-2</v>
      </c>
      <c r="F137">
        <f t="shared" si="25"/>
        <v>94</v>
      </c>
      <c r="G137" s="12">
        <f t="shared" si="26"/>
        <v>0.51110729613733896</v>
      </c>
      <c r="H137">
        <v>1008647</v>
      </c>
      <c r="I137" t="str" cm="1">
        <f t="array" ref="I137">_xlfn.SWITCH(LEFT(A137,FIND("_",A137)-1),
"Mum","Mumbai",
"Hyd","Hyderabad",
"Del","Delhi",
"Ban","Bangalore",
"Che","Chennai",
"Pun","Pune",
"Kol","Kolkata",
"Unknown")</f>
        <v>Delhi</v>
      </c>
    </row>
    <row r="138" spans="1:9" x14ac:dyDescent="0.3">
      <c r="A138" t="str">
        <f>Breaktime!A138</f>
        <v>Del_Sunita Madnani (1008648)</v>
      </c>
      <c r="B138" t="str">
        <f t="shared" si="27"/>
        <v>Sunita Madnani</v>
      </c>
      <c r="C138" s="10">
        <f t="shared" si="22"/>
        <v>0.34307870370370369</v>
      </c>
      <c r="D138" s="10">
        <f t="shared" si="23"/>
        <v>0.22166666666666668</v>
      </c>
      <c r="E138" s="10">
        <f t="shared" si="24"/>
        <v>4.7395833333333331E-2</v>
      </c>
      <c r="F138">
        <f t="shared" si="25"/>
        <v>95</v>
      </c>
      <c r="G138" s="12">
        <f t="shared" si="26"/>
        <v>0.58886040078267299</v>
      </c>
      <c r="H138">
        <v>1008648</v>
      </c>
      <c r="I138" t="str" cm="1">
        <f t="array" ref="I138">_xlfn.SWITCH(LEFT(A138,FIND("_",A138)-1),
"Mum","Mumbai",
"Hyd","Hyderabad",
"Del","Delhi",
"Ban","Bangalore",
"Che","Chennai",
"Pun","Pune",
"Kol","Kolkata",
"Unknown")</f>
        <v>Delhi</v>
      </c>
    </row>
    <row r="139" spans="1:9" x14ac:dyDescent="0.3">
      <c r="A139" t="str">
        <f>Breaktime!A139</f>
        <v>Del_Surendra Kumar (1008649)</v>
      </c>
      <c r="B139" t="str">
        <f t="shared" si="27"/>
        <v>Surendra Kumar</v>
      </c>
      <c r="C139" s="10">
        <f t="shared" si="22"/>
        <v>0.31192129629629628</v>
      </c>
      <c r="D139" s="10">
        <f t="shared" si="23"/>
        <v>0.12112268518518518</v>
      </c>
      <c r="E139" s="10">
        <f t="shared" si="24"/>
        <v>0.1575462962962963</v>
      </c>
      <c r="F139">
        <f t="shared" si="25"/>
        <v>96</v>
      </c>
      <c r="G139" s="12">
        <f t="shared" si="26"/>
        <v>0.34289424860853401</v>
      </c>
      <c r="H139">
        <v>1008649</v>
      </c>
      <c r="I139" t="str" cm="1">
        <f t="array" ref="I139">_xlfn.SWITCH(LEFT(A139,FIND("_",A139)-1),
"Mum","Mumbai",
"Hyd","Hyderabad",
"Del","Delhi",
"Ban","Bangalore",
"Che","Chennai",
"Pun","Pune",
"Kol","Kolkata",
"Unknown")</f>
        <v>Delhi</v>
      </c>
    </row>
    <row r="140" spans="1:9" x14ac:dyDescent="0.3">
      <c r="A140" t="str">
        <f>Breaktime!A140</f>
        <v>Del_Surendranath Thakur (1008650)</v>
      </c>
      <c r="B140" t="str">
        <f t="shared" si="27"/>
        <v>Surendranath Thakur</v>
      </c>
      <c r="C140" s="10">
        <f t="shared" si="22"/>
        <v>0.3568634259259259</v>
      </c>
      <c r="D140" s="10">
        <f t="shared" si="23"/>
        <v>0.19224537037037037</v>
      </c>
      <c r="E140" s="10">
        <f t="shared" si="24"/>
        <v>9.5196759259259259E-2</v>
      </c>
      <c r="F140">
        <f t="shared" si="25"/>
        <v>97</v>
      </c>
      <c r="G140" s="12">
        <f t="shared" si="26"/>
        <v>0.497486459313074</v>
      </c>
      <c r="H140">
        <v>1008650</v>
      </c>
      <c r="I140" t="str" cm="1">
        <f t="array" ref="I140">_xlfn.SWITCH(LEFT(A140,FIND("_",A140)-1),
"Mum","Mumbai",
"Hyd","Hyderabad",
"Del","Delhi",
"Ban","Bangalore",
"Che","Chennai",
"Pun","Pune",
"Kol","Kolkata",
"Unknown")</f>
        <v>Delhi</v>
      </c>
    </row>
    <row r="141" spans="1:9" x14ac:dyDescent="0.3">
      <c r="A141" t="str">
        <f>Breaktime!A141</f>
        <v>Del_Sushma Khandelwal (1008651)</v>
      </c>
      <c r="B141" t="str">
        <f t="shared" si="27"/>
        <v>Sushma Khandelwal</v>
      </c>
      <c r="C141" s="10">
        <f t="shared" si="22"/>
        <v>0.34392361111111114</v>
      </c>
      <c r="D141" s="10">
        <f t="shared" si="23"/>
        <v>0.20146990740740742</v>
      </c>
      <c r="E141" s="10">
        <f t="shared" si="24"/>
        <v>4.8854166666666664E-2</v>
      </c>
      <c r="F141">
        <f t="shared" si="25"/>
        <v>98</v>
      </c>
      <c r="G141" s="12">
        <f t="shared" si="26"/>
        <v>0.52431431936732298</v>
      </c>
      <c r="H141">
        <v>1008651</v>
      </c>
      <c r="I141" t="str" cm="1">
        <f t="array" ref="I141">_xlfn.SWITCH(LEFT(A141,FIND("_",A141)-1),
"Mum","Mumbai",
"Hyd","Hyderabad",
"Del","Delhi",
"Ban","Bangalore",
"Che","Chennai",
"Pun","Pune",
"Kol","Kolkata",
"Unknown")</f>
        <v>Delhi</v>
      </c>
    </row>
    <row r="142" spans="1:9" x14ac:dyDescent="0.3">
      <c r="A142" t="str">
        <f>Breaktime!A142</f>
        <v>Del_Swarnlata Borse (1008652)</v>
      </c>
      <c r="B142" t="str">
        <f t="shared" si="27"/>
        <v>Swarnlata Borse</v>
      </c>
      <c r="C142" s="10">
        <f t="shared" si="22"/>
        <v>0.34658564814814813</v>
      </c>
      <c r="D142" s="10">
        <f t="shared" si="23"/>
        <v>0.12475694444444445</v>
      </c>
      <c r="E142" s="10">
        <f t="shared" si="24"/>
        <v>0.18931712962962963</v>
      </c>
      <c r="F142">
        <f t="shared" si="25"/>
        <v>99</v>
      </c>
      <c r="G142" s="12">
        <f t="shared" si="26"/>
        <v>0.31066956086157999</v>
      </c>
      <c r="H142">
        <v>1008652</v>
      </c>
      <c r="I142" t="str" cm="1">
        <f t="array" ref="I142">_xlfn.SWITCH(LEFT(A142,FIND("_",A142)-1),
"Mum","Mumbai",
"Hyd","Hyderabad",
"Del","Delhi",
"Ban","Bangalore",
"Che","Chennai",
"Pun","Pune",
"Kol","Kolkata",
"Unknown")</f>
        <v>Delhi</v>
      </c>
    </row>
    <row r="143" spans="1:9" x14ac:dyDescent="0.3">
      <c r="A143" t="str">
        <f>Breaktime!A143</f>
        <v>Del_Syed Naved (1008653)</v>
      </c>
      <c r="B143" t="str">
        <f t="shared" si="27"/>
        <v>Syed Naved</v>
      </c>
      <c r="C143" s="10">
        <f t="shared" si="22"/>
        <v>0.34281250000000002</v>
      </c>
      <c r="D143" s="10">
        <f t="shared" si="23"/>
        <v>0.22505787037037037</v>
      </c>
      <c r="E143" s="10">
        <f t="shared" si="24"/>
        <v>5.1898148148148152E-2</v>
      </c>
      <c r="F143">
        <f t="shared" si="25"/>
        <v>100</v>
      </c>
      <c r="G143" s="12">
        <f t="shared" si="26"/>
        <v>0.58462473412336702</v>
      </c>
      <c r="H143">
        <v>1008653</v>
      </c>
      <c r="I143" t="str" cm="1">
        <f t="array" ref="I143">_xlfn.SWITCH(LEFT(A143,FIND("_",A143)-1),
"Mum","Mumbai",
"Hyd","Hyderabad",
"Del","Delhi",
"Ban","Bangalore",
"Che","Chennai",
"Pun","Pune",
"Kol","Kolkata",
"Unknown")</f>
        <v>Delhi</v>
      </c>
    </row>
    <row r="144" spans="1:9" x14ac:dyDescent="0.3">
      <c r="A144" t="str">
        <f>Breaktime!A144</f>
        <v>Del_Syed Saqib (1008654)</v>
      </c>
      <c r="B144" t="str">
        <f t="shared" si="27"/>
        <v>Syed Saqib</v>
      </c>
      <c r="C144" s="10">
        <f t="shared" si="22"/>
        <v>0.35055555555555556</v>
      </c>
      <c r="D144" s="10">
        <f t="shared" si="23"/>
        <v>0.11953703703703704</v>
      </c>
      <c r="E144" s="10">
        <f t="shared" si="24"/>
        <v>0.21081018518518518</v>
      </c>
      <c r="F144">
        <f t="shared" si="25"/>
        <v>101</v>
      </c>
      <c r="G144" s="12">
        <f t="shared" si="26"/>
        <v>0.31685816164817698</v>
      </c>
      <c r="H144">
        <v>1008654</v>
      </c>
      <c r="I144" t="str" cm="1">
        <f t="array" ref="I144">_xlfn.SWITCH(LEFT(A144,FIND("_",A144)-1),
"Mum","Mumbai",
"Hyd","Hyderabad",
"Del","Delhi",
"Ban","Bangalore",
"Che","Chennai",
"Pun","Pune",
"Kol","Kolkata",
"Unknown")</f>
        <v>Delhi</v>
      </c>
    </row>
    <row r="145" spans="1:9" x14ac:dyDescent="0.3">
      <c r="A145" t="str">
        <f>Breaktime!A145</f>
        <v>Del_Syed Sohail (1008655)</v>
      </c>
      <c r="B145" t="str">
        <f t="shared" si="27"/>
        <v>Syed Sohail</v>
      </c>
      <c r="C145" s="10">
        <f t="shared" si="22"/>
        <v>0.34575231481481483</v>
      </c>
      <c r="D145" s="10">
        <f t="shared" si="23"/>
        <v>0.20268518518518519</v>
      </c>
      <c r="E145" s="10">
        <f t="shared" si="24"/>
        <v>5.0046296296296297E-2</v>
      </c>
      <c r="F145">
        <f t="shared" si="25"/>
        <v>102</v>
      </c>
      <c r="G145" s="12">
        <f t="shared" si="26"/>
        <v>0.56375322197301903</v>
      </c>
      <c r="H145">
        <v>1008655</v>
      </c>
      <c r="I145" t="str" cm="1">
        <f t="array" ref="I145">_xlfn.SWITCH(LEFT(A145,FIND("_",A145)-1),
"Mum","Mumbai",
"Hyd","Hyderabad",
"Del","Delhi",
"Ban","Bangalore",
"Che","Chennai",
"Pun","Pune",
"Kol","Kolkata",
"Unknown")</f>
        <v>Delhi</v>
      </c>
    </row>
    <row r="146" spans="1:9" x14ac:dyDescent="0.3">
      <c r="A146" t="str">
        <f>Breaktime!A146</f>
        <v>Del_System Operator (1008656)</v>
      </c>
      <c r="B146" t="str">
        <f t="shared" si="27"/>
        <v>System Operator</v>
      </c>
      <c r="C146" s="10">
        <f t="shared" si="22"/>
        <v>0.35479166666666667</v>
      </c>
      <c r="D146" s="10">
        <f t="shared" si="23"/>
        <v>0.21916666666666668</v>
      </c>
      <c r="E146" s="10">
        <f t="shared" si="24"/>
        <v>3.8946759259259257E-2</v>
      </c>
      <c r="F146">
        <f t="shared" si="25"/>
        <v>103</v>
      </c>
      <c r="G146" s="12">
        <f t="shared" si="26"/>
        <v>0.54779147908918902</v>
      </c>
      <c r="H146">
        <v>1008656</v>
      </c>
      <c r="I146" t="str" cm="1">
        <f t="array" ref="I146">_xlfn.SWITCH(LEFT(A146,FIND("_",A146)-1),
"Mum","Mumbai",
"Hyd","Hyderabad",
"Del","Delhi",
"Ban","Bangalore",
"Che","Chennai",
"Pun","Pune",
"Kol","Kolkata",
"Unknown")</f>
        <v>Delhi</v>
      </c>
    </row>
    <row r="147" spans="1:9" x14ac:dyDescent="0.3">
      <c r="A147" t="str">
        <f>Breaktime!A147</f>
        <v>Del_Tahira Qureshi (1008657)</v>
      </c>
      <c r="B147" t="str">
        <f t="shared" si="27"/>
        <v>Tahira Qureshi</v>
      </c>
      <c r="C147" s="10">
        <f t="shared" si="22"/>
        <v>0.36542824074074076</v>
      </c>
      <c r="D147" s="10">
        <f t="shared" si="23"/>
        <v>0.15059027777777778</v>
      </c>
      <c r="E147" s="10">
        <f t="shared" si="24"/>
        <v>0.16840277777777779</v>
      </c>
      <c r="F147">
        <f t="shared" si="25"/>
        <v>104</v>
      </c>
      <c r="G147" s="12">
        <f t="shared" si="26"/>
        <v>0.37965983593576802</v>
      </c>
      <c r="H147">
        <v>1008657</v>
      </c>
      <c r="I147" t="str" cm="1">
        <f t="array" ref="I147">_xlfn.SWITCH(LEFT(A147,FIND("_",A147)-1),
"Mum","Mumbai",
"Hyd","Hyderabad",
"Del","Delhi",
"Ban","Bangalore",
"Che","Chennai",
"Pun","Pune",
"Kol","Kolkata",
"Unknown")</f>
        <v>Delhi</v>
      </c>
    </row>
    <row r="148" spans="1:9" x14ac:dyDescent="0.3">
      <c r="A148" t="str">
        <f>Breaktime!A148</f>
        <v>Del_Tapas Chakraborty (1008658)</v>
      </c>
      <c r="B148" t="str">
        <f t="shared" si="27"/>
        <v>Tapas Chakraborty</v>
      </c>
      <c r="C148" s="10">
        <f t="shared" si="22"/>
        <v>0.34370370370370368</v>
      </c>
      <c r="D148" s="10">
        <f t="shared" si="23"/>
        <v>0.21891203703703704</v>
      </c>
      <c r="E148" s="10">
        <f t="shared" si="24"/>
        <v>5.0127314814814812E-2</v>
      </c>
      <c r="F148">
        <f t="shared" si="25"/>
        <v>105</v>
      </c>
      <c r="G148" s="12">
        <f t="shared" si="26"/>
        <v>0.56529498922413801</v>
      </c>
      <c r="H148">
        <v>1008658</v>
      </c>
      <c r="I148" t="str" cm="1">
        <f t="array" ref="I148">_xlfn.SWITCH(LEFT(A148,FIND("_",A148)-1),
"Mum","Mumbai",
"Hyd","Hyderabad",
"Del","Delhi",
"Ban","Bangalore",
"Che","Chennai",
"Pun","Pune",
"Kol","Kolkata",
"Unknown")</f>
        <v>Delhi</v>
      </c>
    </row>
    <row r="149" spans="1:9" x14ac:dyDescent="0.3">
      <c r="A149" t="str">
        <f>Breaktime!A149</f>
        <v>Del_Tariq Akhlaq (1008659)</v>
      </c>
      <c r="B149" t="str">
        <f t="shared" si="27"/>
        <v>Tariq Akhlaq</v>
      </c>
      <c r="C149" s="10">
        <f t="shared" si="22"/>
        <v>0.20827546296296295</v>
      </c>
      <c r="D149" s="10">
        <f t="shared" si="23"/>
        <v>0.1310300925925926</v>
      </c>
      <c r="E149" s="10">
        <f t="shared" si="24"/>
        <v>1.0451388888888889E-2</v>
      </c>
      <c r="F149">
        <f t="shared" si="25"/>
        <v>106</v>
      </c>
      <c r="G149" s="12">
        <f t="shared" si="26"/>
        <v>0.60261183662128404</v>
      </c>
      <c r="H149">
        <v>1008659</v>
      </c>
      <c r="I149" t="str" cm="1">
        <f t="array" ref="I149">_xlfn.SWITCH(LEFT(A149,FIND("_",A149)-1),
"Mum","Mumbai",
"Hyd","Hyderabad",
"Del","Delhi",
"Ban","Bangalore",
"Che","Chennai",
"Pun","Pune",
"Kol","Kolkata",
"Unknown")</f>
        <v>Delhi</v>
      </c>
    </row>
    <row r="150" spans="1:9" x14ac:dyDescent="0.3">
      <c r="A150" t="str">
        <f>Breaktime!A150</f>
        <v>Del_Tasneem Khan (1008660)</v>
      </c>
      <c r="B150" t="str">
        <f t="shared" si="27"/>
        <v>Tasneem Khan</v>
      </c>
      <c r="C150" s="10">
        <f t="shared" si="22"/>
        <v>0.35688657407407409</v>
      </c>
      <c r="D150" s="10">
        <f t="shared" si="23"/>
        <v>0.19362268518518519</v>
      </c>
      <c r="E150" s="10">
        <f t="shared" si="24"/>
        <v>9.5034722222222229E-2</v>
      </c>
      <c r="F150">
        <f t="shared" si="25"/>
        <v>107</v>
      </c>
      <c r="G150" s="12">
        <f t="shared" si="26"/>
        <v>0.49813523593319298</v>
      </c>
      <c r="H150">
        <v>1008660</v>
      </c>
      <c r="I150" t="str" cm="1">
        <f t="array" ref="I150">_xlfn.SWITCH(LEFT(A150,FIND("_",A150)-1),
"Mum","Mumbai",
"Hyd","Hyderabad",
"Del","Delhi",
"Ban","Bangalore",
"Che","Chennai",
"Pun","Pune",
"Kol","Kolkata",
"Unknown")</f>
        <v>Delhi</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09BBD-CA75-4F1A-A4F0-2F4AD26BF615}">
  <sheetPr codeName="Sheet7">
    <pageSetUpPr autoPageBreaks="0"/>
  </sheetPr>
  <dimension ref="A1:AX154"/>
  <sheetViews>
    <sheetView showGridLines="0" tabSelected="1" zoomScale="76" zoomScaleNormal="76" workbookViewId="0">
      <selection activeCell="V7" sqref="V7"/>
    </sheetView>
  </sheetViews>
  <sheetFormatPr defaultRowHeight="14.4" x14ac:dyDescent="0.3"/>
  <cols>
    <col min="1" max="1" width="19.33203125" style="21" customWidth="1"/>
    <col min="2" max="2" width="35" style="21" customWidth="1"/>
    <col min="3" max="3" width="1.21875" style="21" customWidth="1"/>
    <col min="4" max="4" width="20.44140625" style="21" customWidth="1"/>
    <col min="5" max="5" width="33.33203125" style="21" customWidth="1"/>
    <col min="6" max="6" width="1.21875" style="21" customWidth="1"/>
    <col min="7" max="7" width="21" style="21" customWidth="1"/>
    <col min="8" max="8" width="32.6640625" style="21" customWidth="1"/>
    <col min="9" max="9" width="1.21875" style="21" customWidth="1"/>
    <col min="10" max="10" width="20.109375" style="21" customWidth="1"/>
    <col min="11" max="11" width="32.21875" style="21" customWidth="1"/>
    <col min="12" max="16" width="8.88671875" style="21"/>
    <col min="17" max="17" width="10.5546875" style="21" customWidth="1"/>
    <col min="18" max="18" width="5.33203125" style="21" customWidth="1"/>
    <col min="19" max="20" width="8.88671875" style="21"/>
    <col min="21" max="22" width="8.88671875" style="23"/>
    <col min="23" max="23" width="20.5546875" style="23" customWidth="1"/>
    <col min="24" max="24" width="8.88671875" style="23"/>
    <col min="25" max="25" width="20.5546875" style="23" customWidth="1"/>
    <col min="26" max="26" width="8.88671875" style="23"/>
    <col min="27" max="27" width="19.6640625" style="23" customWidth="1"/>
    <col min="28" max="28" width="20.109375" style="23" customWidth="1"/>
    <col min="29" max="29" width="34.6640625" style="23" customWidth="1"/>
    <col min="30" max="30" width="24.77734375" style="23" customWidth="1"/>
    <col min="31" max="31" width="23.109375" style="23" customWidth="1"/>
    <col min="32" max="32" width="22.6640625" style="23" customWidth="1"/>
    <col min="33" max="33" width="8.88671875" style="23"/>
    <col min="34" max="34" width="16" style="23" customWidth="1"/>
    <col min="35" max="35" width="26.88671875" style="23" customWidth="1"/>
    <col min="36" max="41" width="8.88671875" style="23"/>
    <col min="42" max="42" width="19" style="23" customWidth="1"/>
    <col min="43" max="43" width="25.21875" style="23" customWidth="1"/>
    <col min="44" max="48" width="8.88671875" style="23"/>
    <col min="49" max="49" width="18.33203125" style="23" customWidth="1"/>
    <col min="50" max="50" width="12" style="23" customWidth="1"/>
    <col min="51" max="16384" width="8.88671875" style="23"/>
  </cols>
  <sheetData>
    <row r="1" spans="1:50" x14ac:dyDescent="0.3">
      <c r="A1" s="55" t="s">
        <v>1048</v>
      </c>
      <c r="B1" s="56"/>
      <c r="C1" s="56"/>
      <c r="D1" s="56"/>
      <c r="E1" s="56"/>
      <c r="F1" s="56"/>
      <c r="G1" s="56"/>
      <c r="H1" s="56"/>
      <c r="I1" s="56"/>
      <c r="J1" s="56"/>
      <c r="K1" s="56"/>
      <c r="L1" s="56"/>
      <c r="M1" s="56"/>
      <c r="N1" s="56"/>
      <c r="O1" s="56"/>
      <c r="P1" s="56"/>
      <c r="Q1" s="56"/>
      <c r="R1" s="48"/>
      <c r="U1" s="23">
        <v>5</v>
      </c>
    </row>
    <row r="2" spans="1:50" x14ac:dyDescent="0.3">
      <c r="A2" s="56"/>
      <c r="B2" s="56"/>
      <c r="C2" s="56"/>
      <c r="D2" s="56"/>
      <c r="E2" s="56"/>
      <c r="F2" s="56"/>
      <c r="G2" s="56"/>
      <c r="H2" s="56"/>
      <c r="I2" s="56"/>
      <c r="J2" s="56"/>
      <c r="K2" s="56"/>
      <c r="L2" s="56"/>
      <c r="M2" s="56"/>
      <c r="N2" s="56"/>
      <c r="O2" s="56"/>
      <c r="P2" s="56"/>
      <c r="Q2" s="56"/>
      <c r="R2" s="48"/>
      <c r="U2" s="23">
        <v>8</v>
      </c>
    </row>
    <row r="3" spans="1:50" ht="6.6" customHeight="1" x14ac:dyDescent="0.3">
      <c r="A3" s="56"/>
      <c r="B3" s="56"/>
      <c r="C3" s="56"/>
      <c r="D3" s="56"/>
      <c r="E3" s="56"/>
      <c r="F3" s="56"/>
      <c r="G3" s="56"/>
      <c r="H3" s="56"/>
      <c r="I3" s="56"/>
      <c r="J3" s="56"/>
      <c r="K3" s="56"/>
      <c r="L3" s="56"/>
      <c r="M3" s="56"/>
      <c r="N3" s="56"/>
      <c r="O3" s="56"/>
      <c r="P3" s="56"/>
      <c r="Q3" s="56"/>
      <c r="R3" s="48"/>
      <c r="U3" s="23">
        <v>4</v>
      </c>
      <c r="AH3" s="23" t="s">
        <v>600</v>
      </c>
      <c r="AI3" s="23" t="s">
        <v>1032</v>
      </c>
    </row>
    <row r="4" spans="1:50" ht="51.6" customHeight="1" x14ac:dyDescent="0.3">
      <c r="A4" s="56"/>
      <c r="B4" s="56"/>
      <c r="C4" s="56"/>
      <c r="D4" s="56"/>
      <c r="E4" s="56"/>
      <c r="F4" s="56"/>
      <c r="G4" s="56"/>
      <c r="H4" s="56"/>
      <c r="I4" s="56"/>
      <c r="J4" s="56"/>
      <c r="K4" s="56"/>
      <c r="L4" s="56"/>
      <c r="M4" s="56"/>
      <c r="N4" s="56"/>
      <c r="O4" s="56"/>
      <c r="P4" s="56"/>
      <c r="Q4" s="56"/>
      <c r="R4" s="48"/>
      <c r="U4" s="23">
        <v>6</v>
      </c>
    </row>
    <row r="5" spans="1:50" x14ac:dyDescent="0.3">
      <c r="A5" s="57"/>
      <c r="B5" s="57"/>
      <c r="C5" s="25"/>
      <c r="D5" s="57"/>
      <c r="E5" s="57"/>
      <c r="F5" s="25"/>
      <c r="G5" s="57"/>
      <c r="H5" s="57"/>
      <c r="I5" s="25"/>
      <c r="J5" s="57"/>
      <c r="K5" s="57"/>
      <c r="L5" s="25"/>
      <c r="M5" s="25"/>
      <c r="N5" s="25"/>
      <c r="O5" s="25"/>
      <c r="P5" s="25"/>
      <c r="Q5" s="25"/>
      <c r="R5" s="25"/>
      <c r="U5" s="23">
        <v>5</v>
      </c>
      <c r="AH5" s="23" t="s">
        <v>1007</v>
      </c>
      <c r="AI5" s="23" t="s">
        <v>1031</v>
      </c>
      <c r="AJ5" s="23" t="s">
        <v>1010</v>
      </c>
      <c r="AK5" s="23" t="s">
        <v>1033</v>
      </c>
    </row>
    <row r="6" spans="1:50" x14ac:dyDescent="0.3">
      <c r="A6" s="57"/>
      <c r="B6" s="57"/>
      <c r="C6" s="25"/>
      <c r="D6" s="57"/>
      <c r="E6" s="57"/>
      <c r="F6" s="25"/>
      <c r="G6" s="57"/>
      <c r="H6" s="57"/>
      <c r="I6" s="25"/>
      <c r="J6" s="57"/>
      <c r="K6" s="57"/>
      <c r="L6" s="25"/>
      <c r="M6" s="25"/>
      <c r="N6" s="25"/>
      <c r="O6" s="25"/>
      <c r="P6" s="25"/>
      <c r="Q6" s="25"/>
      <c r="R6" s="25"/>
      <c r="AH6" s="64" t="s">
        <v>1014</v>
      </c>
      <c r="AI6" s="65">
        <v>0.24453703703703702</v>
      </c>
      <c r="AJ6" s="66">
        <v>90</v>
      </c>
      <c r="AK6" s="67">
        <v>0.55128627474469205</v>
      </c>
    </row>
    <row r="7" spans="1:50" ht="27" customHeight="1" x14ac:dyDescent="0.3">
      <c r="A7" s="57"/>
      <c r="B7" s="57"/>
      <c r="C7" s="25"/>
      <c r="D7" s="57"/>
      <c r="E7" s="57"/>
      <c r="F7" s="25"/>
      <c r="G7" s="57"/>
      <c r="H7" s="57"/>
      <c r="I7" s="25"/>
      <c r="J7" s="57"/>
      <c r="K7" s="57"/>
      <c r="L7" s="25"/>
      <c r="M7" s="25"/>
      <c r="N7" s="25"/>
      <c r="O7" s="25"/>
      <c r="P7" s="25"/>
      <c r="Q7" s="25"/>
      <c r="R7" s="25"/>
      <c r="AH7" s="64" t="s">
        <v>1151</v>
      </c>
      <c r="AI7" s="65">
        <v>0.2330787037037037</v>
      </c>
      <c r="AJ7" s="66">
        <v>66</v>
      </c>
      <c r="AK7" s="67">
        <v>0.61917030852521004</v>
      </c>
    </row>
    <row r="8" spans="1:50" x14ac:dyDescent="0.3">
      <c r="A8" s="58" t="s">
        <v>1049</v>
      </c>
      <c r="B8" s="59"/>
      <c r="C8" s="25"/>
      <c r="D8" s="58" t="s">
        <v>1050</v>
      </c>
      <c r="E8" s="59"/>
      <c r="F8" s="25"/>
      <c r="G8" s="58" t="s">
        <v>1051</v>
      </c>
      <c r="H8" s="59"/>
      <c r="I8" s="25"/>
      <c r="J8" s="60" t="s">
        <v>1052</v>
      </c>
      <c r="K8" s="61"/>
      <c r="L8" s="25"/>
      <c r="M8" s="25"/>
      <c r="N8" s="25"/>
      <c r="O8" s="25"/>
      <c r="P8" s="25"/>
      <c r="Q8" s="25"/>
      <c r="R8" s="25"/>
      <c r="AH8" s="64" t="s">
        <v>1072</v>
      </c>
      <c r="AI8" s="65">
        <v>0.22703703703703704</v>
      </c>
      <c r="AJ8" s="66">
        <v>73</v>
      </c>
      <c r="AK8" s="67">
        <v>0.59983142279163904</v>
      </c>
      <c r="AP8" s="23" t="s">
        <v>1007</v>
      </c>
      <c r="AQ8" s="23" t="s">
        <v>1047</v>
      </c>
    </row>
    <row r="9" spans="1:50" s="22" customFormat="1" x14ac:dyDescent="0.3">
      <c r="A9" s="59"/>
      <c r="B9" s="59"/>
      <c r="C9" s="32"/>
      <c r="D9" s="59"/>
      <c r="E9" s="59"/>
      <c r="F9" s="32"/>
      <c r="G9" s="59"/>
      <c r="H9" s="59"/>
      <c r="I9" s="32"/>
      <c r="J9" s="61"/>
      <c r="K9" s="61"/>
      <c r="L9" s="32"/>
      <c r="M9" s="32"/>
      <c r="N9" s="32"/>
      <c r="O9" s="32"/>
      <c r="P9" s="32"/>
      <c r="Q9" s="32"/>
      <c r="R9" s="32"/>
      <c r="Y9" s="23"/>
      <c r="Z9" s="23"/>
      <c r="AA9" s="23"/>
      <c r="AH9" s="64" t="s">
        <v>1092</v>
      </c>
      <c r="AI9" s="65">
        <v>0.22660879629629629</v>
      </c>
      <c r="AJ9" s="66">
        <v>53</v>
      </c>
      <c r="AK9" s="67">
        <v>0.64717479317021698</v>
      </c>
      <c r="AP9" s="64" t="s">
        <v>1186</v>
      </c>
      <c r="AQ9" s="66">
        <v>53</v>
      </c>
      <c r="AR9" s="23"/>
      <c r="AS9" s="23"/>
      <c r="AW9" s="23"/>
      <c r="AX9" s="23"/>
    </row>
    <row r="10" spans="1:50" x14ac:dyDescent="0.3">
      <c r="A10" s="13" t="s">
        <v>1007</v>
      </c>
      <c r="B10" t="s">
        <v>1006</v>
      </c>
      <c r="C10" s="25"/>
      <c r="D10" s="13" t="s">
        <v>1007</v>
      </c>
      <c r="E10" t="s">
        <v>1005</v>
      </c>
      <c r="F10" s="25"/>
      <c r="G10" s="13" t="s">
        <v>1007</v>
      </c>
      <c r="H10" t="s">
        <v>1004</v>
      </c>
      <c r="I10" s="25"/>
      <c r="J10" s="13" t="s">
        <v>1007</v>
      </c>
      <c r="K10" s="17" t="s">
        <v>1053</v>
      </c>
      <c r="L10" s="25"/>
      <c r="M10" s="25"/>
      <c r="N10" s="25"/>
      <c r="O10" s="25"/>
      <c r="P10" s="25"/>
      <c r="Q10" s="25"/>
      <c r="R10" s="25"/>
      <c r="W10" s="23" t="s">
        <v>1010</v>
      </c>
      <c r="Y10" s="23" t="s">
        <v>1029</v>
      </c>
      <c r="AA10" s="23" t="s">
        <v>1007</v>
      </c>
      <c r="AB10" s="23" t="s">
        <v>1010</v>
      </c>
      <c r="AC10" s="23" t="s">
        <v>1009</v>
      </c>
      <c r="AD10" s="23" t="s">
        <v>1030</v>
      </c>
      <c r="AE10" s="23" t="s">
        <v>1012</v>
      </c>
      <c r="AF10" s="23" t="s">
        <v>1011</v>
      </c>
      <c r="AH10" s="64" t="s">
        <v>1087</v>
      </c>
      <c r="AI10" s="65">
        <v>0.22590277777777779</v>
      </c>
      <c r="AJ10" s="66">
        <v>58</v>
      </c>
      <c r="AK10" s="67">
        <v>0.48579278917035301</v>
      </c>
      <c r="AP10" s="64" t="s">
        <v>1187</v>
      </c>
      <c r="AQ10" s="66">
        <v>80</v>
      </c>
    </row>
    <row r="11" spans="1:50" x14ac:dyDescent="0.3">
      <c r="A11" s="27" t="s">
        <v>1003</v>
      </c>
      <c r="B11" s="28">
        <v>1.3668402777777779</v>
      </c>
      <c r="C11" s="25"/>
      <c r="D11" s="26" t="s">
        <v>1014</v>
      </c>
      <c r="E11" s="40">
        <v>0.24453703703703702</v>
      </c>
      <c r="F11" s="25"/>
      <c r="G11" s="27" t="s">
        <v>1003</v>
      </c>
      <c r="H11" s="62">
        <v>322</v>
      </c>
      <c r="I11" s="25"/>
      <c r="J11" s="27" t="s">
        <v>1013</v>
      </c>
      <c r="K11" s="29">
        <v>0.65495030262646503</v>
      </c>
      <c r="L11" s="25"/>
      <c r="M11" s="25"/>
      <c r="N11" s="25"/>
      <c r="O11" s="25"/>
      <c r="P11" s="25"/>
      <c r="Q11" s="25"/>
      <c r="R11" s="25"/>
      <c r="W11" s="66">
        <v>9404</v>
      </c>
      <c r="Y11" s="66">
        <v>149</v>
      </c>
      <c r="AA11" s="64" t="s">
        <v>1015</v>
      </c>
      <c r="AB11" s="66">
        <v>98</v>
      </c>
      <c r="AC11" s="65">
        <v>0.34424768518518517</v>
      </c>
      <c r="AD11" s="65">
        <v>4.7708333333333332E-2</v>
      </c>
      <c r="AE11" s="68">
        <v>0.20693287037037036</v>
      </c>
      <c r="AF11" s="67">
        <v>0.55697138822580095</v>
      </c>
      <c r="AG11" s="23">
        <f>100 - AB11</f>
        <v>2</v>
      </c>
      <c r="AH11" s="64" t="s">
        <v>1180</v>
      </c>
      <c r="AI11" s="65">
        <v>0.22505787037037037</v>
      </c>
      <c r="AJ11" s="66">
        <v>100</v>
      </c>
      <c r="AK11" s="67">
        <v>0.58462473412336702</v>
      </c>
      <c r="AP11" s="64" t="s">
        <v>1046</v>
      </c>
      <c r="AQ11" s="66">
        <v>16</v>
      </c>
    </row>
    <row r="12" spans="1:50" x14ac:dyDescent="0.3">
      <c r="A12" s="27" t="s">
        <v>1065</v>
      </c>
      <c r="B12" s="28">
        <v>0.66396990740740747</v>
      </c>
      <c r="C12" s="25"/>
      <c r="D12" s="27" t="s">
        <v>1003</v>
      </c>
      <c r="E12" s="63">
        <v>0.76096064814814812</v>
      </c>
      <c r="F12" s="25"/>
      <c r="G12" s="27" t="s">
        <v>1061</v>
      </c>
      <c r="H12" s="62">
        <v>222</v>
      </c>
      <c r="I12" s="25"/>
      <c r="J12" s="27" t="s">
        <v>1073</v>
      </c>
      <c r="K12" s="29">
        <v>0.65029060203969702</v>
      </c>
      <c r="L12" s="25"/>
      <c r="M12" s="25"/>
      <c r="N12" s="25"/>
      <c r="O12" s="25"/>
      <c r="P12" s="25"/>
      <c r="Q12" s="25"/>
      <c r="R12" s="25"/>
      <c r="AA12" s="64" t="s">
        <v>1016</v>
      </c>
      <c r="AB12" s="66">
        <v>23</v>
      </c>
      <c r="AC12" s="65">
        <v>0.34416666666666668</v>
      </c>
      <c r="AD12" s="65">
        <v>4.8599537037037038E-2</v>
      </c>
      <c r="AE12" s="68">
        <v>0.20733796296296297</v>
      </c>
      <c r="AF12" s="67">
        <v>0.58027306967984904</v>
      </c>
      <c r="AG12" s="23">
        <f t="shared" ref="AG12:AG75" si="0">100 - AB12</f>
        <v>77</v>
      </c>
      <c r="AH12" s="64" t="s">
        <v>1157</v>
      </c>
      <c r="AI12" s="65">
        <v>0.22203703703703703</v>
      </c>
      <c r="AJ12" s="66">
        <v>72</v>
      </c>
      <c r="AK12" s="67">
        <v>0.58165871362322696</v>
      </c>
    </row>
    <row r="13" spans="1:50" x14ac:dyDescent="0.3">
      <c r="A13" s="27" t="s">
        <v>1066</v>
      </c>
      <c r="B13" s="28">
        <v>0.67937500000000006</v>
      </c>
      <c r="C13" s="25"/>
      <c r="D13" s="26" t="s">
        <v>1072</v>
      </c>
      <c r="E13" s="40">
        <v>0.22703703703703704</v>
      </c>
      <c r="F13" s="25"/>
      <c r="G13" s="27" t="s">
        <v>1062</v>
      </c>
      <c r="H13" s="62">
        <v>185</v>
      </c>
      <c r="I13" s="25"/>
      <c r="J13" s="27" t="s">
        <v>1090</v>
      </c>
      <c r="K13" s="29">
        <v>0.64380836602751801</v>
      </c>
      <c r="L13" s="25"/>
      <c r="M13" s="25"/>
      <c r="N13" s="25"/>
      <c r="O13" s="25"/>
      <c r="P13" s="25"/>
      <c r="Q13" s="25"/>
      <c r="R13" s="25"/>
      <c r="W13" s="23" t="s">
        <v>1033</v>
      </c>
      <c r="Y13" s="23" t="s">
        <v>1007</v>
      </c>
      <c r="AA13" s="64" t="s">
        <v>1017</v>
      </c>
      <c r="AB13" s="66">
        <v>28</v>
      </c>
      <c r="AC13" s="65">
        <v>0.34510416666666666</v>
      </c>
      <c r="AD13" s="65">
        <v>5.1319444444444445E-2</v>
      </c>
      <c r="AE13" s="68">
        <v>0.20109953703703703</v>
      </c>
      <c r="AF13" s="67">
        <v>0.51708756749505302</v>
      </c>
      <c r="AG13" s="23">
        <f t="shared" si="0"/>
        <v>72</v>
      </c>
      <c r="AH13" s="64" t="s">
        <v>1175</v>
      </c>
      <c r="AI13" s="65">
        <v>0.22166666666666668</v>
      </c>
      <c r="AJ13" s="66">
        <v>95</v>
      </c>
      <c r="AK13" s="67">
        <v>0.58886040078267299</v>
      </c>
    </row>
    <row r="14" spans="1:50" x14ac:dyDescent="0.3">
      <c r="A14" s="27" t="s">
        <v>1061</v>
      </c>
      <c r="B14" s="28">
        <v>1.0142939814814815</v>
      </c>
      <c r="C14" s="25"/>
      <c r="D14" s="27" t="s">
        <v>1065</v>
      </c>
      <c r="E14" s="63">
        <v>0.37417824074074074</v>
      </c>
      <c r="F14" s="25"/>
      <c r="G14" s="27" t="s">
        <v>1064</v>
      </c>
      <c r="H14" s="62">
        <v>107</v>
      </c>
      <c r="I14" s="25"/>
      <c r="J14" s="27" t="s">
        <v>1092</v>
      </c>
      <c r="K14" s="29">
        <v>0.64717479317021698</v>
      </c>
      <c r="L14" s="25"/>
      <c r="M14" s="25"/>
      <c r="N14" s="25"/>
      <c r="O14" s="25"/>
      <c r="P14" s="25"/>
      <c r="Q14" s="25"/>
      <c r="R14" s="25"/>
      <c r="W14" s="67">
        <v>0.50001199461830059</v>
      </c>
      <c r="Y14" s="64" t="s">
        <v>1015</v>
      </c>
      <c r="AA14" s="64" t="s">
        <v>1018</v>
      </c>
      <c r="AB14" s="66">
        <v>29</v>
      </c>
      <c r="AC14" s="65">
        <v>0.34023148148148147</v>
      </c>
      <c r="AD14" s="65">
        <v>9.6550925925925929E-2</v>
      </c>
      <c r="AE14" s="68">
        <v>0.17884259259259258</v>
      </c>
      <c r="AF14" s="67">
        <v>0.47720778337188702</v>
      </c>
      <c r="AG14" s="23">
        <f t="shared" si="0"/>
        <v>71</v>
      </c>
      <c r="AH14" s="64" t="s">
        <v>1163</v>
      </c>
      <c r="AI14" s="65">
        <v>0.22164351851851852</v>
      </c>
      <c r="AJ14" s="66">
        <v>81</v>
      </c>
      <c r="AK14" s="67">
        <v>0.54352584610203702</v>
      </c>
    </row>
    <row r="15" spans="1:50" x14ac:dyDescent="0.3">
      <c r="A15" s="27" t="s">
        <v>1062</v>
      </c>
      <c r="B15" s="28">
        <v>0.67259259259259263</v>
      </c>
      <c r="C15" s="25"/>
      <c r="D15" s="27" t="s">
        <v>1066</v>
      </c>
      <c r="E15" s="63">
        <v>0.41770833333333335</v>
      </c>
      <c r="F15" s="25"/>
      <c r="G15"/>
      <c r="H15"/>
      <c r="I15" s="25"/>
      <c r="J15" s="27" t="s">
        <v>1106</v>
      </c>
      <c r="K15" s="29">
        <v>0.62762080802746201</v>
      </c>
      <c r="L15" s="25"/>
      <c r="M15" s="25"/>
      <c r="N15" s="25"/>
      <c r="O15" s="25"/>
      <c r="P15" s="25"/>
      <c r="Q15" s="25"/>
      <c r="R15" s="25"/>
      <c r="Y15" s="64" t="s">
        <v>1016</v>
      </c>
      <c r="AA15" s="64" t="s">
        <v>1019</v>
      </c>
      <c r="AB15" s="66">
        <v>93</v>
      </c>
      <c r="AC15" s="65">
        <v>0.30603009259259262</v>
      </c>
      <c r="AD15" s="65">
        <v>0.12844907407407408</v>
      </c>
      <c r="AE15" s="68">
        <v>0.13870370370370369</v>
      </c>
      <c r="AF15" s="67">
        <v>0.43288831738587802</v>
      </c>
      <c r="AG15" s="23">
        <f t="shared" si="0"/>
        <v>7</v>
      </c>
      <c r="AH15" s="64" t="s">
        <v>1091</v>
      </c>
      <c r="AI15" s="65">
        <v>0.22140046296296295</v>
      </c>
      <c r="AJ15" s="66">
        <v>54</v>
      </c>
      <c r="AK15" s="67">
        <v>0.57347234098533195</v>
      </c>
    </row>
    <row r="16" spans="1:50" x14ac:dyDescent="0.3">
      <c r="A16"/>
      <c r="B16"/>
      <c r="C16" s="25"/>
      <c r="D16" s="26" t="s">
        <v>1151</v>
      </c>
      <c r="E16" s="40">
        <v>0.2330787037037037</v>
      </c>
      <c r="F16" s="25"/>
      <c r="G16"/>
      <c r="H16"/>
      <c r="I16" s="25"/>
      <c r="J16" s="14" t="s">
        <v>1135</v>
      </c>
      <c r="K16" s="29">
        <v>0.62426796562859199</v>
      </c>
      <c r="L16" s="25"/>
      <c r="M16" s="25"/>
      <c r="N16" s="25"/>
      <c r="O16" s="25"/>
      <c r="P16" s="25"/>
      <c r="Q16" s="25"/>
      <c r="R16" s="25"/>
      <c r="U16" s="23" t="s">
        <v>1008</v>
      </c>
      <c r="W16" s="23" t="s">
        <v>1009</v>
      </c>
      <c r="Y16" s="64" t="s">
        <v>1017</v>
      </c>
      <c r="AA16" s="64" t="s">
        <v>1013</v>
      </c>
      <c r="AB16" s="66">
        <v>92</v>
      </c>
      <c r="AC16" s="65">
        <v>0.2084375</v>
      </c>
      <c r="AD16" s="65">
        <v>1.8831018518518518E-2</v>
      </c>
      <c r="AE16" s="68">
        <v>0.15369212962962964</v>
      </c>
      <c r="AF16" s="67">
        <v>0.65495030262646503</v>
      </c>
      <c r="AG16" s="23">
        <f t="shared" si="0"/>
        <v>8</v>
      </c>
      <c r="AH16" s="64" t="s">
        <v>1127</v>
      </c>
      <c r="AI16" s="65">
        <v>0.21947916666666667</v>
      </c>
      <c r="AJ16" s="66">
        <v>40</v>
      </c>
      <c r="AK16" s="67">
        <v>0.54713623850130899</v>
      </c>
    </row>
    <row r="17" spans="1:37" x14ac:dyDescent="0.3">
      <c r="A17"/>
      <c r="B17"/>
      <c r="C17" s="25"/>
      <c r="D17" s="27" t="s">
        <v>1061</v>
      </c>
      <c r="E17" s="63">
        <v>0.62321759259259257</v>
      </c>
      <c r="F17" s="25"/>
      <c r="G17"/>
      <c r="H17"/>
      <c r="I17" s="25"/>
      <c r="J17"/>
      <c r="K17"/>
      <c r="L17" s="25"/>
      <c r="M17" s="25"/>
      <c r="N17" s="25"/>
      <c r="O17" s="25"/>
      <c r="P17" s="25"/>
      <c r="Q17" s="25"/>
      <c r="R17" s="25"/>
      <c r="W17" s="65">
        <v>49.794548611111139</v>
      </c>
      <c r="Y17" s="64" t="s">
        <v>1018</v>
      </c>
      <c r="AA17" s="64" t="s">
        <v>1020</v>
      </c>
      <c r="AB17" s="66">
        <v>26</v>
      </c>
      <c r="AC17" s="65">
        <v>0.34488425925925925</v>
      </c>
      <c r="AD17" s="65">
        <v>0.11229166666666666</v>
      </c>
      <c r="AE17" s="68">
        <v>0.17553240740740741</v>
      </c>
      <c r="AF17" s="67">
        <v>0.49476474931203401</v>
      </c>
      <c r="AG17" s="23">
        <f t="shared" si="0"/>
        <v>74</v>
      </c>
      <c r="AH17" s="64" t="s">
        <v>1183</v>
      </c>
      <c r="AI17" s="65">
        <v>0.21916666666666668</v>
      </c>
      <c r="AJ17" s="66">
        <v>103</v>
      </c>
      <c r="AK17" s="67">
        <v>0.54779147908918902</v>
      </c>
    </row>
    <row r="18" spans="1:37" x14ac:dyDescent="0.3">
      <c r="A18"/>
      <c r="B18"/>
      <c r="C18" s="25"/>
      <c r="D18" s="27" t="s">
        <v>1062</v>
      </c>
      <c r="E18" s="63">
        <v>0.29421296296296295</v>
      </c>
      <c r="F18" s="25"/>
      <c r="G18"/>
      <c r="H18"/>
      <c r="I18" s="25"/>
      <c r="J18"/>
      <c r="K18"/>
      <c r="L18" s="25"/>
      <c r="M18" s="25"/>
      <c r="N18" s="25"/>
      <c r="O18" s="25"/>
      <c r="P18" s="25"/>
      <c r="Q18" s="25"/>
      <c r="R18" s="25"/>
      <c r="Y18" s="64" t="s">
        <v>1019</v>
      </c>
      <c r="AA18" s="64" t="s">
        <v>1014</v>
      </c>
      <c r="AB18" s="66">
        <v>90</v>
      </c>
      <c r="AC18" s="65">
        <v>0.38646990740740739</v>
      </c>
      <c r="AD18" s="65">
        <v>5.0810185185185187E-2</v>
      </c>
      <c r="AE18" s="68">
        <v>0.24453703703703702</v>
      </c>
      <c r="AF18" s="67">
        <v>0.55128627474469205</v>
      </c>
      <c r="AG18" s="23">
        <f t="shared" si="0"/>
        <v>10</v>
      </c>
      <c r="AH18" s="64" t="s">
        <v>1185</v>
      </c>
      <c r="AI18" s="65">
        <v>0.21891203703703704</v>
      </c>
      <c r="AJ18" s="66">
        <v>105</v>
      </c>
      <c r="AK18" s="67">
        <v>0.56529498922413801</v>
      </c>
    </row>
    <row r="19" spans="1:37" x14ac:dyDescent="0.3">
      <c r="A19"/>
      <c r="B19"/>
      <c r="C19" s="25"/>
      <c r="D19"/>
      <c r="E19"/>
      <c r="F19" s="25"/>
      <c r="G19"/>
      <c r="H19"/>
      <c r="I19" s="25"/>
      <c r="J19"/>
      <c r="K19"/>
      <c r="L19" s="25"/>
      <c r="M19" s="25"/>
      <c r="N19" s="25"/>
      <c r="O19" s="25"/>
      <c r="P19" s="25"/>
      <c r="Q19" s="25"/>
      <c r="R19" s="25"/>
      <c r="W19" s="23" t="s">
        <v>1012</v>
      </c>
      <c r="Y19" s="64" t="s">
        <v>1013</v>
      </c>
      <c r="AA19" s="64" t="s">
        <v>1021</v>
      </c>
      <c r="AB19" s="66">
        <v>89</v>
      </c>
      <c r="AC19" s="65">
        <v>0.34256944444444443</v>
      </c>
      <c r="AD19" s="65">
        <v>4.628472222222222E-2</v>
      </c>
      <c r="AE19" s="68">
        <v>0.20311342592592593</v>
      </c>
      <c r="AF19" s="67">
        <v>0.55206432867085597</v>
      </c>
      <c r="AG19" s="23">
        <f t="shared" si="0"/>
        <v>11</v>
      </c>
      <c r="AH19" s="64" t="s">
        <v>1078</v>
      </c>
      <c r="AI19" s="65">
        <v>0.21824074074074074</v>
      </c>
      <c r="AJ19" s="66">
        <v>67</v>
      </c>
      <c r="AK19" s="67">
        <v>0.56446852102649603</v>
      </c>
    </row>
    <row r="20" spans="1:37" x14ac:dyDescent="0.3">
      <c r="A20"/>
      <c r="B20"/>
      <c r="C20" s="25"/>
      <c r="D20" s="25"/>
      <c r="E20" s="25"/>
      <c r="F20" s="25"/>
      <c r="G20" s="33"/>
      <c r="H20" s="33"/>
      <c r="I20" s="25"/>
      <c r="J20" s="33"/>
      <c r="K20" s="33"/>
      <c r="L20" s="25"/>
      <c r="M20" s="25"/>
      <c r="N20" s="25"/>
      <c r="O20" s="25"/>
      <c r="P20" s="25"/>
      <c r="Q20" s="25"/>
      <c r="R20" s="25"/>
      <c r="W20" s="65">
        <v>27.108449074074084</v>
      </c>
      <c r="Y20" s="64" t="s">
        <v>1020</v>
      </c>
      <c r="AA20" s="64" t="s">
        <v>1022</v>
      </c>
      <c r="AB20" s="66">
        <v>54</v>
      </c>
      <c r="AC20" s="65">
        <v>0.34769675925925925</v>
      </c>
      <c r="AD20" s="65">
        <v>4.8576388888888891E-2</v>
      </c>
      <c r="AE20" s="68">
        <v>0.20702546296296295</v>
      </c>
      <c r="AF20" s="67">
        <v>0.56868945774108703</v>
      </c>
      <c r="AG20" s="23">
        <f t="shared" si="0"/>
        <v>46</v>
      </c>
      <c r="AH20" s="64" t="s">
        <v>1121</v>
      </c>
      <c r="AI20" s="65">
        <v>0.21642361111111111</v>
      </c>
      <c r="AJ20" s="66">
        <v>34</v>
      </c>
      <c r="AK20" s="67">
        <v>0.525112224318522</v>
      </c>
    </row>
    <row r="21" spans="1:37" x14ac:dyDescent="0.3">
      <c r="A21" s="25"/>
      <c r="B21" s="25"/>
      <c r="C21" s="25"/>
      <c r="D21" s="25"/>
      <c r="E21" s="25"/>
      <c r="F21" s="25"/>
      <c r="G21" s="33"/>
      <c r="H21" s="33"/>
      <c r="I21" s="25"/>
      <c r="J21" s="33"/>
      <c r="K21" s="33"/>
      <c r="L21" s="25"/>
      <c r="M21" s="25"/>
      <c r="N21" s="25"/>
      <c r="O21" s="25"/>
      <c r="P21" s="25"/>
      <c r="Q21" s="25"/>
      <c r="R21" s="25"/>
      <c r="Y21" s="64" t="s">
        <v>1014</v>
      </c>
      <c r="AA21" s="64" t="s">
        <v>1023</v>
      </c>
      <c r="AB21" s="66">
        <v>87</v>
      </c>
      <c r="AC21" s="65">
        <v>0.34068287037037037</v>
      </c>
      <c r="AD21" s="65">
        <v>4.809027777777778E-2</v>
      </c>
      <c r="AE21" s="68">
        <v>0.20518518518518519</v>
      </c>
      <c r="AF21" s="67">
        <v>0.56035332087650802</v>
      </c>
      <c r="AG21" s="23">
        <f t="shared" si="0"/>
        <v>13</v>
      </c>
      <c r="AH21" s="64" t="s">
        <v>1124</v>
      </c>
      <c r="AI21" s="65">
        <v>0.21581018518518519</v>
      </c>
      <c r="AJ21" s="66">
        <v>37</v>
      </c>
      <c r="AK21" s="67">
        <v>0.55600710333993597</v>
      </c>
    </row>
    <row r="22" spans="1:37" x14ac:dyDescent="0.3">
      <c r="A22" s="25"/>
      <c r="B22" s="25"/>
      <c r="C22" s="25"/>
      <c r="D22" s="25"/>
      <c r="E22" s="25"/>
      <c r="F22" s="25"/>
      <c r="G22" s="25"/>
      <c r="H22" s="25"/>
      <c r="I22" s="25"/>
      <c r="J22" s="33"/>
      <c r="K22" s="33"/>
      <c r="L22" s="25"/>
      <c r="M22" s="25"/>
      <c r="N22" s="25"/>
      <c r="O22" s="25"/>
      <c r="P22" s="25"/>
      <c r="Q22" s="25"/>
      <c r="R22" s="25"/>
      <c r="W22" s="23" t="s">
        <v>1028</v>
      </c>
      <c r="Y22" s="64" t="s">
        <v>1021</v>
      </c>
      <c r="AA22" s="64" t="s">
        <v>1024</v>
      </c>
      <c r="AB22" s="66">
        <v>65</v>
      </c>
      <c r="AC22" s="65">
        <v>0.33622685185185186</v>
      </c>
      <c r="AD22" s="65">
        <v>0.12590277777777778</v>
      </c>
      <c r="AE22" s="68">
        <v>0.15812499999999999</v>
      </c>
      <c r="AF22" s="67">
        <v>0.41552495697073999</v>
      </c>
      <c r="AG22" s="23">
        <f t="shared" si="0"/>
        <v>35</v>
      </c>
      <c r="AH22" s="64" t="s">
        <v>1165</v>
      </c>
      <c r="AI22" s="65">
        <v>0.21557870370370372</v>
      </c>
      <c r="AJ22" s="66">
        <v>83</v>
      </c>
      <c r="AK22" s="67">
        <v>0.56196890539434796</v>
      </c>
    </row>
    <row r="23" spans="1:37" x14ac:dyDescent="0.3">
      <c r="A23" s="25"/>
      <c r="B23" s="25"/>
      <c r="C23" s="25"/>
      <c r="D23" s="25"/>
      <c r="E23" s="25"/>
      <c r="F23" s="25"/>
      <c r="G23" s="25"/>
      <c r="H23" s="25"/>
      <c r="I23" s="25"/>
      <c r="J23" s="33"/>
      <c r="K23" s="33"/>
      <c r="L23" s="25"/>
      <c r="M23" s="25"/>
      <c r="N23" s="25"/>
      <c r="O23" s="25"/>
      <c r="P23" s="25"/>
      <c r="Q23" s="25"/>
      <c r="R23" s="25"/>
      <c r="W23" s="65">
        <v>0.33419160141685328</v>
      </c>
      <c r="Y23" s="64" t="s">
        <v>1022</v>
      </c>
      <c r="AA23" s="64" t="s">
        <v>1025</v>
      </c>
      <c r="AB23" s="66">
        <v>85</v>
      </c>
      <c r="AC23" s="65">
        <v>0.34349537037037037</v>
      </c>
      <c r="AD23" s="65">
        <v>8.7974537037037032E-2</v>
      </c>
      <c r="AE23" s="68">
        <v>0.19699074074074074</v>
      </c>
      <c r="AF23" s="67">
        <v>0.50026955994339195</v>
      </c>
      <c r="AG23" s="23">
        <f t="shared" si="0"/>
        <v>15</v>
      </c>
      <c r="AH23" s="64" t="s">
        <v>1094</v>
      </c>
      <c r="AI23" s="65">
        <v>0.21436342592592592</v>
      </c>
      <c r="AJ23" s="66">
        <v>51</v>
      </c>
      <c r="AK23" s="67">
        <v>0.55280122283511701</v>
      </c>
    </row>
    <row r="24" spans="1:37" x14ac:dyDescent="0.3">
      <c r="A24" s="25"/>
      <c r="B24" s="25"/>
      <c r="C24" s="25"/>
      <c r="D24" s="25"/>
      <c r="E24" s="25"/>
      <c r="F24" s="25"/>
      <c r="G24" s="25"/>
      <c r="H24" s="25"/>
      <c r="I24" s="25"/>
      <c r="J24" s="33"/>
      <c r="K24" s="33"/>
      <c r="L24" s="25"/>
      <c r="M24" s="25"/>
      <c r="N24" s="25"/>
      <c r="O24" s="25"/>
      <c r="P24" s="25"/>
      <c r="Q24" s="25"/>
      <c r="R24" s="25"/>
      <c r="Y24" s="64" t="s">
        <v>1023</v>
      </c>
      <c r="AA24" s="64" t="s">
        <v>1026</v>
      </c>
      <c r="AB24" s="66">
        <v>65</v>
      </c>
      <c r="AC24" s="65">
        <v>0.33321759259259259</v>
      </c>
      <c r="AD24" s="65">
        <v>4.9004629629629627E-2</v>
      </c>
      <c r="AE24" s="68">
        <v>0.19475694444444444</v>
      </c>
      <c r="AF24" s="67">
        <v>0.51396318166029897</v>
      </c>
      <c r="AG24" s="23">
        <f t="shared" si="0"/>
        <v>35</v>
      </c>
      <c r="AH24" s="64" t="s">
        <v>1128</v>
      </c>
      <c r="AI24" s="65">
        <v>0.21346064814814814</v>
      </c>
      <c r="AJ24" s="66">
        <v>41</v>
      </c>
      <c r="AK24" s="67">
        <v>0.61457229509993805</v>
      </c>
    </row>
    <row r="25" spans="1:37" x14ac:dyDescent="0.3">
      <c r="A25" s="25"/>
      <c r="B25" s="25"/>
      <c r="C25" s="25"/>
      <c r="D25" s="25"/>
      <c r="E25" s="25"/>
      <c r="F25" s="25"/>
      <c r="G25" s="25"/>
      <c r="H25" s="25"/>
      <c r="I25" s="25"/>
      <c r="J25" s="33"/>
      <c r="K25" s="33"/>
      <c r="L25" s="25"/>
      <c r="M25" s="25"/>
      <c r="N25" s="25"/>
      <c r="O25" s="25"/>
      <c r="P25" s="25"/>
      <c r="Q25" s="25"/>
      <c r="R25" s="25"/>
      <c r="Y25" s="64" t="s">
        <v>1024</v>
      </c>
      <c r="AA25" s="64" t="s">
        <v>1027</v>
      </c>
      <c r="AB25" s="66">
        <v>83</v>
      </c>
      <c r="AC25" s="65">
        <v>0.34512731481481479</v>
      </c>
      <c r="AD25" s="65">
        <v>5.3460648148148146E-2</v>
      </c>
      <c r="AE25" s="68">
        <v>0.2066550925925926</v>
      </c>
      <c r="AF25" s="67">
        <v>0.510580502364264</v>
      </c>
      <c r="AG25" s="23">
        <f t="shared" si="0"/>
        <v>17</v>
      </c>
      <c r="AH25" s="64" t="s">
        <v>1170</v>
      </c>
      <c r="AI25" s="65">
        <v>0.21278935185185185</v>
      </c>
      <c r="AJ25" s="66">
        <v>88</v>
      </c>
      <c r="AK25" s="67">
        <v>0.57404190086867701</v>
      </c>
    </row>
    <row r="26" spans="1:37" x14ac:dyDescent="0.3">
      <c r="A26" s="25"/>
      <c r="B26" s="25"/>
      <c r="C26" s="25"/>
      <c r="D26" s="25"/>
      <c r="E26" s="25"/>
      <c r="F26" s="25"/>
      <c r="G26" s="25"/>
      <c r="H26" s="25"/>
      <c r="I26" s="25"/>
      <c r="J26" s="33"/>
      <c r="K26" s="33"/>
      <c r="L26" s="25"/>
      <c r="M26" s="25"/>
      <c r="N26" s="25"/>
      <c r="O26" s="25"/>
      <c r="P26" s="25"/>
      <c r="Q26" s="25"/>
      <c r="R26" s="25"/>
      <c r="W26" s="23" t="s">
        <v>1007</v>
      </c>
      <c r="X26" s="23" t="s">
        <v>1054</v>
      </c>
      <c r="Y26" s="64" t="s">
        <v>1025</v>
      </c>
      <c r="AA26" s="64" t="s">
        <v>1003</v>
      </c>
      <c r="AB26" s="66">
        <v>322</v>
      </c>
      <c r="AC26" s="65">
        <v>1.3668402777777779</v>
      </c>
      <c r="AD26" s="65">
        <v>0.299375</v>
      </c>
      <c r="AE26" s="68">
        <v>0.76096064814814812</v>
      </c>
      <c r="AF26" s="67">
        <v>2.0905948641136138</v>
      </c>
      <c r="AG26" s="23">
        <f t="shared" si="0"/>
        <v>-222</v>
      </c>
      <c r="AH26" s="64" t="s">
        <v>1075</v>
      </c>
      <c r="AI26" s="65">
        <v>0.21273148148148149</v>
      </c>
      <c r="AJ26" s="66">
        <v>70</v>
      </c>
      <c r="AK26" s="67">
        <v>0.51334660682347399</v>
      </c>
    </row>
    <row r="27" spans="1:37" x14ac:dyDescent="0.3">
      <c r="A27" s="25"/>
      <c r="B27" s="25"/>
      <c r="C27" s="25"/>
      <c r="D27" s="25"/>
      <c r="E27" s="25"/>
      <c r="F27" s="25"/>
      <c r="G27" s="25"/>
      <c r="H27" s="25"/>
      <c r="I27" s="25"/>
      <c r="J27" s="33"/>
      <c r="K27" s="33"/>
      <c r="L27" s="25"/>
      <c r="M27" s="25"/>
      <c r="N27" s="25"/>
      <c r="O27" s="25"/>
      <c r="P27" s="25"/>
      <c r="Q27" s="25"/>
      <c r="R27" s="25"/>
      <c r="W27" s="64" t="s">
        <v>1186</v>
      </c>
      <c r="X27" s="66">
        <v>53</v>
      </c>
      <c r="Y27" s="64" t="s">
        <v>1026</v>
      </c>
      <c r="AA27" s="64" t="s">
        <v>1067</v>
      </c>
      <c r="AB27" s="66">
        <v>78</v>
      </c>
      <c r="AC27" s="65">
        <v>0.34574074074074074</v>
      </c>
      <c r="AD27" s="65">
        <v>5.1736111111111108E-2</v>
      </c>
      <c r="AE27" s="68">
        <v>0.20710648148148147</v>
      </c>
      <c r="AF27" s="67">
        <v>0.57495313336904097</v>
      </c>
      <c r="AG27" s="23">
        <f t="shared" si="0"/>
        <v>22</v>
      </c>
      <c r="AH27" s="64" t="s">
        <v>1156</v>
      </c>
      <c r="AI27" s="65">
        <v>0.21258101851851852</v>
      </c>
      <c r="AJ27" s="66">
        <v>71</v>
      </c>
      <c r="AK27" s="67">
        <v>0.58651553374572396</v>
      </c>
    </row>
    <row r="28" spans="1:37" x14ac:dyDescent="0.3">
      <c r="A28" s="25"/>
      <c r="B28" s="25"/>
      <c r="C28" s="25"/>
      <c r="D28" s="25"/>
      <c r="E28" s="25"/>
      <c r="F28" s="25"/>
      <c r="G28" s="25"/>
      <c r="H28" s="25"/>
      <c r="I28" s="25"/>
      <c r="J28" s="25"/>
      <c r="K28" s="25"/>
      <c r="L28" s="25"/>
      <c r="M28" s="25"/>
      <c r="N28" s="25"/>
      <c r="O28" s="25"/>
      <c r="P28" s="25"/>
      <c r="Q28" s="25"/>
      <c r="R28" s="25"/>
      <c r="W28" s="64" t="s">
        <v>1187</v>
      </c>
      <c r="X28" s="66">
        <v>80</v>
      </c>
      <c r="Y28" s="64" t="s">
        <v>1027</v>
      </c>
      <c r="AA28" s="64" t="s">
        <v>1068</v>
      </c>
      <c r="AB28" s="66">
        <v>77</v>
      </c>
      <c r="AC28" s="65">
        <v>0.34283564814814815</v>
      </c>
      <c r="AD28" s="65">
        <v>4.6516203703703705E-2</v>
      </c>
      <c r="AE28" s="68">
        <v>0.20393518518518519</v>
      </c>
      <c r="AF28" s="67">
        <v>0.57945376590932096</v>
      </c>
      <c r="AG28" s="23">
        <f t="shared" si="0"/>
        <v>23</v>
      </c>
      <c r="AH28" s="64" t="s">
        <v>1130</v>
      </c>
      <c r="AI28" s="65">
        <v>0.21214120370370371</v>
      </c>
      <c r="AJ28" s="66">
        <v>43</v>
      </c>
      <c r="AK28" s="67">
        <v>0.611363636363636</v>
      </c>
    </row>
    <row r="29" spans="1:37" x14ac:dyDescent="0.3">
      <c r="A29" s="25"/>
      <c r="B29" s="25"/>
      <c r="C29" s="25"/>
      <c r="D29" s="25"/>
      <c r="E29" s="25"/>
      <c r="F29" s="25"/>
      <c r="G29" s="25"/>
      <c r="H29" s="25"/>
      <c r="I29" s="25"/>
      <c r="J29" s="25"/>
      <c r="K29" s="25"/>
      <c r="L29" s="25"/>
      <c r="M29" s="25"/>
      <c r="N29" s="25"/>
      <c r="O29" s="25"/>
      <c r="P29" s="25"/>
      <c r="Q29" s="25"/>
      <c r="R29" s="25"/>
      <c r="W29" s="64" t="s">
        <v>1046</v>
      </c>
      <c r="X29" s="66">
        <v>16</v>
      </c>
      <c r="Y29" s="64" t="s">
        <v>1003</v>
      </c>
      <c r="AA29" s="64" t="s">
        <v>1069</v>
      </c>
      <c r="AB29" s="66">
        <v>76</v>
      </c>
      <c r="AC29" s="65">
        <v>0.34553240740740743</v>
      </c>
      <c r="AD29" s="65">
        <v>4.8460648148148149E-2</v>
      </c>
      <c r="AE29" s="68">
        <v>0.20821759259259259</v>
      </c>
      <c r="AF29" s="67">
        <v>0.588296375695049</v>
      </c>
      <c r="AG29" s="23">
        <f t="shared" si="0"/>
        <v>24</v>
      </c>
      <c r="AH29" s="64" t="s">
        <v>1073</v>
      </c>
      <c r="AI29" s="65">
        <v>0.21199074074074073</v>
      </c>
      <c r="AJ29" s="66">
        <v>72</v>
      </c>
      <c r="AK29" s="67">
        <v>0.65029060203969702</v>
      </c>
    </row>
    <row r="30" spans="1:37" x14ac:dyDescent="0.3">
      <c r="A30" s="25"/>
      <c r="B30" s="25"/>
      <c r="C30" s="25"/>
      <c r="D30" s="25"/>
      <c r="E30" s="25"/>
      <c r="F30" s="25"/>
      <c r="G30" s="25"/>
      <c r="H30" s="25"/>
      <c r="I30" s="25"/>
      <c r="J30" s="25"/>
      <c r="K30" s="25"/>
      <c r="L30" s="25"/>
      <c r="M30" s="25"/>
      <c r="N30" s="25"/>
      <c r="O30" s="25"/>
      <c r="P30" s="25"/>
      <c r="Q30" s="25"/>
      <c r="R30" s="25"/>
      <c r="Y30" s="64" t="s">
        <v>1067</v>
      </c>
      <c r="AA30" s="64" t="s">
        <v>1070</v>
      </c>
      <c r="AB30" s="66">
        <v>75</v>
      </c>
      <c r="AC30" s="65">
        <v>0.32064814814814813</v>
      </c>
      <c r="AD30" s="65">
        <v>9.0486111111111114E-2</v>
      </c>
      <c r="AE30" s="68">
        <v>0.17288194444444444</v>
      </c>
      <c r="AF30" s="67">
        <v>0.46267686976609901</v>
      </c>
      <c r="AG30" s="23">
        <f t="shared" si="0"/>
        <v>25</v>
      </c>
      <c r="AH30" s="64" t="s">
        <v>1079</v>
      </c>
      <c r="AI30" s="65">
        <v>0.21184027777777778</v>
      </c>
      <c r="AJ30" s="66">
        <v>66</v>
      </c>
      <c r="AK30" s="67">
        <v>0.49789043664612898</v>
      </c>
    </row>
    <row r="31" spans="1:37" ht="14.4" customHeight="1" x14ac:dyDescent="0.7">
      <c r="A31" s="25"/>
      <c r="B31" s="25"/>
      <c r="C31" s="25"/>
      <c r="D31" s="34"/>
      <c r="E31" s="25"/>
      <c r="F31" s="25"/>
      <c r="G31" s="35"/>
      <c r="H31" s="35"/>
      <c r="I31" s="25"/>
      <c r="J31" s="25"/>
      <c r="K31" s="25"/>
      <c r="L31" s="25"/>
      <c r="M31" s="25"/>
      <c r="N31" s="25"/>
      <c r="O31" s="25"/>
      <c r="P31" s="25"/>
      <c r="Q31" s="25"/>
      <c r="R31" s="25"/>
      <c r="Y31" s="64" t="s">
        <v>1068</v>
      </c>
      <c r="AA31" s="64" t="s">
        <v>1071</v>
      </c>
      <c r="AB31" s="66">
        <v>74</v>
      </c>
      <c r="AC31" s="65">
        <v>0.34032407407407406</v>
      </c>
      <c r="AD31" s="65">
        <v>9.1168981481481476E-2</v>
      </c>
      <c r="AE31" s="68">
        <v>0.17644675925925926</v>
      </c>
      <c r="AF31" s="67">
        <v>0.478030199972793</v>
      </c>
      <c r="AG31" s="23">
        <f t="shared" si="0"/>
        <v>26</v>
      </c>
      <c r="AH31" s="64" t="s">
        <v>1103</v>
      </c>
      <c r="AI31" s="65">
        <v>0.21151620370370369</v>
      </c>
      <c r="AJ31" s="66">
        <v>40</v>
      </c>
      <c r="AK31" s="67">
        <v>0.58954564004897303</v>
      </c>
    </row>
    <row r="32" spans="1:37" ht="14.4" customHeight="1" x14ac:dyDescent="0.3">
      <c r="A32" s="36"/>
      <c r="B32" s="30"/>
      <c r="C32" s="25"/>
      <c r="D32" s="31"/>
      <c r="E32" s="31"/>
      <c r="F32" s="25"/>
      <c r="G32" s="37"/>
      <c r="H32" s="32"/>
      <c r="I32" s="25"/>
      <c r="J32" s="36"/>
      <c r="K32" s="30"/>
      <c r="L32" s="25"/>
      <c r="M32" s="38"/>
      <c r="N32" s="25"/>
      <c r="O32" s="25"/>
      <c r="P32" s="25"/>
      <c r="Q32" s="25"/>
      <c r="R32" s="25"/>
      <c r="Y32" s="64" t="s">
        <v>1069</v>
      </c>
      <c r="AA32" s="64" t="s">
        <v>1072</v>
      </c>
      <c r="AB32" s="66">
        <v>73</v>
      </c>
      <c r="AC32" s="65">
        <v>0.34328703703703706</v>
      </c>
      <c r="AD32" s="65">
        <v>5.0625000000000003E-2</v>
      </c>
      <c r="AE32" s="68">
        <v>0.22703703703703704</v>
      </c>
      <c r="AF32" s="67">
        <v>0.59983142279163904</v>
      </c>
      <c r="AG32" s="23">
        <f t="shared" si="0"/>
        <v>27</v>
      </c>
      <c r="AH32" s="64" t="s">
        <v>1101</v>
      </c>
      <c r="AI32" s="65">
        <v>0.21112268518518518</v>
      </c>
      <c r="AJ32" s="66">
        <v>44</v>
      </c>
      <c r="AK32" s="67">
        <v>0.54639905548996504</v>
      </c>
    </row>
    <row r="33" spans="1:37" ht="14.4" customHeight="1" x14ac:dyDescent="0.3">
      <c r="A33" s="30"/>
      <c r="B33" s="30"/>
      <c r="C33" s="25"/>
      <c r="D33" s="31"/>
      <c r="E33" s="31"/>
      <c r="F33" s="25"/>
      <c r="G33" s="32"/>
      <c r="H33" s="32"/>
      <c r="I33" s="25"/>
      <c r="J33" s="30"/>
      <c r="K33" s="30"/>
      <c r="L33" s="25"/>
      <c r="M33" s="25"/>
      <c r="N33" s="25"/>
      <c r="O33" s="25"/>
      <c r="P33" s="25"/>
      <c r="Q33" s="25"/>
      <c r="R33" s="25"/>
      <c r="Y33" s="64" t="s">
        <v>1070</v>
      </c>
      <c r="AA33" s="64" t="s">
        <v>1073</v>
      </c>
      <c r="AB33" s="66">
        <v>72</v>
      </c>
      <c r="AC33" s="65">
        <v>0.31663194444444442</v>
      </c>
      <c r="AD33" s="65">
        <v>2.1180555555555557E-2</v>
      </c>
      <c r="AE33" s="68">
        <v>0.21199074074074073</v>
      </c>
      <c r="AF33" s="67">
        <v>0.65029060203969702</v>
      </c>
      <c r="AG33" s="23">
        <f t="shared" si="0"/>
        <v>28</v>
      </c>
      <c r="AH33" s="64" t="s">
        <v>1129</v>
      </c>
      <c r="AI33" s="65">
        <v>0.21100694444444446</v>
      </c>
      <c r="AJ33" s="66">
        <v>42</v>
      </c>
      <c r="AK33" s="67">
        <v>0.55335578460387103</v>
      </c>
    </row>
    <row r="34" spans="1:37" ht="14.4" customHeight="1" x14ac:dyDescent="0.3">
      <c r="A34" s="30"/>
      <c r="B34" s="30"/>
      <c r="C34" s="25"/>
      <c r="D34" s="31"/>
      <c r="E34" s="31"/>
      <c r="F34" s="25"/>
      <c r="G34" s="32"/>
      <c r="H34" s="32"/>
      <c r="I34" s="25"/>
      <c r="J34" s="30"/>
      <c r="K34" s="30"/>
      <c r="L34" s="25"/>
      <c r="M34" s="25"/>
      <c r="N34" s="25"/>
      <c r="O34" s="25"/>
      <c r="P34" s="25"/>
      <c r="Q34" s="25"/>
      <c r="R34" s="25"/>
      <c r="Y34" s="64" t="s">
        <v>1071</v>
      </c>
      <c r="AA34" s="64" t="s">
        <v>1074</v>
      </c>
      <c r="AB34" s="66">
        <v>71</v>
      </c>
      <c r="AC34" s="65">
        <v>0.34512731481481479</v>
      </c>
      <c r="AD34" s="65">
        <v>4.9768518518518517E-2</v>
      </c>
      <c r="AE34" s="68">
        <v>0.20607638888888888</v>
      </c>
      <c r="AF34" s="67">
        <v>0.55001844461584903</v>
      </c>
      <c r="AG34" s="23">
        <f t="shared" si="0"/>
        <v>29</v>
      </c>
      <c r="AH34" s="64" t="s">
        <v>1081</v>
      </c>
      <c r="AI34" s="65">
        <v>0.20981481481481482</v>
      </c>
      <c r="AJ34" s="66">
        <v>64</v>
      </c>
      <c r="AK34" s="67">
        <v>0.57680556021891705</v>
      </c>
    </row>
    <row r="35" spans="1:37" ht="14.4" customHeight="1" x14ac:dyDescent="0.3">
      <c r="A35" s="50" t="s">
        <v>1058</v>
      </c>
      <c r="B35" s="50"/>
      <c r="C35" s="25"/>
      <c r="D35" s="53" t="s">
        <v>1055</v>
      </c>
      <c r="E35" s="54"/>
      <c r="F35" s="25"/>
      <c r="G35" s="43" t="s">
        <v>1059</v>
      </c>
      <c r="H35" s="43"/>
      <c r="I35" s="25"/>
      <c r="J35" s="15"/>
      <c r="K35" s="39"/>
      <c r="L35" s="25"/>
      <c r="M35" s="25"/>
      <c r="N35" s="25"/>
      <c r="O35" s="25"/>
      <c r="P35" s="25"/>
      <c r="Q35" s="25"/>
      <c r="R35" s="25"/>
      <c r="Y35" s="64" t="s">
        <v>1072</v>
      </c>
      <c r="AA35" s="64" t="s">
        <v>1075</v>
      </c>
      <c r="AB35" s="66">
        <v>70</v>
      </c>
      <c r="AC35" s="65">
        <v>0.34297453703703706</v>
      </c>
      <c r="AD35" s="65">
        <v>4.8645833333333333E-2</v>
      </c>
      <c r="AE35" s="68">
        <v>0.21273148148148149</v>
      </c>
      <c r="AF35" s="67">
        <v>0.51334660682347399</v>
      </c>
      <c r="AG35" s="23">
        <f t="shared" si="0"/>
        <v>30</v>
      </c>
      <c r="AH35" s="64" t="s">
        <v>1066</v>
      </c>
      <c r="AI35" s="65">
        <v>0.20885416666666667</v>
      </c>
      <c r="AJ35" s="66">
        <v>97</v>
      </c>
      <c r="AK35" s="67">
        <v>0.56141229847065799</v>
      </c>
    </row>
    <row r="36" spans="1:37" ht="14.4" customHeight="1" x14ac:dyDescent="0.3">
      <c r="A36" s="50"/>
      <c r="B36" s="50"/>
      <c r="C36" s="25"/>
      <c r="D36" s="54"/>
      <c r="E36" s="54"/>
      <c r="F36" s="25"/>
      <c r="G36" s="43"/>
      <c r="H36" s="43"/>
      <c r="I36" s="25"/>
      <c r="J36" s="16"/>
      <c r="K36" s="39"/>
      <c r="L36" s="25"/>
      <c r="M36" s="25"/>
      <c r="N36" s="25"/>
      <c r="O36" s="25"/>
      <c r="P36" s="25"/>
      <c r="Q36" s="25"/>
      <c r="R36" s="25"/>
      <c r="Y36" s="64" t="s">
        <v>1073</v>
      </c>
      <c r="AA36" s="64" t="s">
        <v>1076</v>
      </c>
      <c r="AB36" s="66">
        <v>69</v>
      </c>
      <c r="AC36" s="65">
        <v>0.34387731481481482</v>
      </c>
      <c r="AD36" s="65">
        <v>0.11449074074074074</v>
      </c>
      <c r="AE36" s="68">
        <v>0.17480324074074075</v>
      </c>
      <c r="AF36" s="67">
        <v>0.43603379219817601</v>
      </c>
      <c r="AG36" s="23">
        <f t="shared" si="0"/>
        <v>31</v>
      </c>
      <c r="AH36" s="64" t="s">
        <v>1153</v>
      </c>
      <c r="AI36" s="65">
        <v>0.20876157407407409</v>
      </c>
      <c r="AJ36" s="66">
        <v>68</v>
      </c>
      <c r="AK36" s="67">
        <v>0.56195374478956595</v>
      </c>
    </row>
    <row r="37" spans="1:37" ht="14.4" customHeight="1" x14ac:dyDescent="0.3">
      <c r="A37" s="50"/>
      <c r="B37" s="50"/>
      <c r="C37" s="25"/>
      <c r="D37" s="54"/>
      <c r="E37" s="54"/>
      <c r="F37" s="25"/>
      <c r="G37" s="43"/>
      <c r="H37" s="43"/>
      <c r="I37" s="25"/>
      <c r="J37" s="16"/>
      <c r="K37" s="39"/>
      <c r="L37" s="25"/>
      <c r="M37" s="25"/>
      <c r="N37" s="25"/>
      <c r="O37" s="25"/>
      <c r="P37" s="25"/>
      <c r="Q37" s="25"/>
      <c r="R37" s="25"/>
      <c r="Y37" s="64" t="s">
        <v>1074</v>
      </c>
      <c r="AA37" s="64" t="s">
        <v>1077</v>
      </c>
      <c r="AB37" s="66">
        <v>68</v>
      </c>
      <c r="AC37" s="65">
        <v>0.31069444444444444</v>
      </c>
      <c r="AD37" s="65">
        <v>5.5787037037037038E-2</v>
      </c>
      <c r="AE37" s="68">
        <v>0.1912962962962963</v>
      </c>
      <c r="AF37" s="67">
        <v>0.52954105200417201</v>
      </c>
      <c r="AG37" s="23">
        <f t="shared" si="0"/>
        <v>32</v>
      </c>
      <c r="AH37" s="64" t="s">
        <v>1155</v>
      </c>
      <c r="AI37" s="65">
        <v>0.20849537037037036</v>
      </c>
      <c r="AJ37" s="66">
        <v>70</v>
      </c>
      <c r="AK37" s="67">
        <v>0.55414762032804499</v>
      </c>
    </row>
    <row r="38" spans="1:37" ht="14.4" customHeight="1" x14ac:dyDescent="0.3">
      <c r="A38" s="49">
        <f>W17</f>
        <v>49.794548611111139</v>
      </c>
      <c r="B38" s="41"/>
      <c r="C38" s="25"/>
      <c r="D38" s="51">
        <f>W20</f>
        <v>27.108449074074084</v>
      </c>
      <c r="E38" s="52"/>
      <c r="F38" s="25"/>
      <c r="G38" s="41">
        <f>W11</f>
        <v>9404</v>
      </c>
      <c r="H38" s="41"/>
      <c r="I38" s="25"/>
      <c r="J38" s="16"/>
      <c r="K38" s="39"/>
      <c r="L38" s="25"/>
      <c r="M38" s="25"/>
      <c r="N38" s="25"/>
      <c r="O38" s="25"/>
      <c r="P38" s="25"/>
      <c r="Q38" s="25"/>
      <c r="R38" s="25"/>
      <c r="Y38" s="64" t="s">
        <v>1075</v>
      </c>
      <c r="AA38" s="64" t="s">
        <v>1078</v>
      </c>
      <c r="AB38" s="66">
        <v>67</v>
      </c>
      <c r="AC38" s="65">
        <v>0.33329861111111109</v>
      </c>
      <c r="AD38" s="65">
        <v>4.809027777777778E-2</v>
      </c>
      <c r="AE38" s="68">
        <v>0.21824074074074074</v>
      </c>
      <c r="AF38" s="67">
        <v>0.56446852102649603</v>
      </c>
      <c r="AG38" s="23">
        <f t="shared" si="0"/>
        <v>33</v>
      </c>
      <c r="AH38" s="64" t="s">
        <v>1069</v>
      </c>
      <c r="AI38" s="65">
        <v>0.20821759259259259</v>
      </c>
      <c r="AJ38" s="66">
        <v>76</v>
      </c>
      <c r="AK38" s="67">
        <v>0.588296375695049</v>
      </c>
    </row>
    <row r="39" spans="1:37" ht="14.4" customHeight="1" x14ac:dyDescent="0.3">
      <c r="A39" s="41"/>
      <c r="B39" s="41"/>
      <c r="C39" s="25"/>
      <c r="D39" s="52"/>
      <c r="E39" s="52"/>
      <c r="F39" s="25"/>
      <c r="G39" s="41"/>
      <c r="H39" s="41"/>
      <c r="I39" s="25"/>
      <c r="J39" s="16"/>
      <c r="K39" s="39"/>
      <c r="L39" s="25"/>
      <c r="M39" s="25"/>
      <c r="N39" s="25"/>
      <c r="O39" s="25"/>
      <c r="P39" s="25"/>
      <c r="Q39" s="25"/>
      <c r="R39" s="25"/>
      <c r="T39" s="24"/>
      <c r="Y39" s="64" t="s">
        <v>1076</v>
      </c>
      <c r="AA39" s="64" t="s">
        <v>1079</v>
      </c>
      <c r="AB39" s="66">
        <v>66</v>
      </c>
      <c r="AC39" s="65">
        <v>0.34564814814814815</v>
      </c>
      <c r="AD39" s="65">
        <v>8.9745370370370364E-2</v>
      </c>
      <c r="AE39" s="68">
        <v>0.21184027777777778</v>
      </c>
      <c r="AF39" s="67">
        <v>0.49789043664612898</v>
      </c>
      <c r="AG39" s="23">
        <f t="shared" si="0"/>
        <v>34</v>
      </c>
      <c r="AH39" s="64" t="s">
        <v>1080</v>
      </c>
      <c r="AI39" s="65">
        <v>0.20781250000000001</v>
      </c>
      <c r="AJ39" s="66">
        <v>65</v>
      </c>
      <c r="AK39" s="67">
        <v>0.56270450751252099</v>
      </c>
    </row>
    <row r="40" spans="1:37" ht="14.4" customHeight="1" x14ac:dyDescent="0.3">
      <c r="A40" s="41"/>
      <c r="B40" s="41"/>
      <c r="C40" s="25"/>
      <c r="D40" s="52"/>
      <c r="E40" s="52"/>
      <c r="F40" s="25"/>
      <c r="G40" s="41"/>
      <c r="H40" s="41"/>
      <c r="I40" s="25"/>
      <c r="J40" s="16"/>
      <c r="K40" s="39"/>
      <c r="L40" s="25"/>
      <c r="M40" s="25"/>
      <c r="N40" s="25"/>
      <c r="O40" s="25"/>
      <c r="P40" s="25"/>
      <c r="Q40" s="25"/>
      <c r="R40" s="25"/>
      <c r="Y40" s="64" t="s">
        <v>1077</v>
      </c>
      <c r="AA40" s="64" t="s">
        <v>1080</v>
      </c>
      <c r="AB40" s="66">
        <v>65</v>
      </c>
      <c r="AC40" s="65">
        <v>0.34664351851851855</v>
      </c>
      <c r="AD40" s="65">
        <v>4.7951388888888891E-2</v>
      </c>
      <c r="AE40" s="68">
        <v>0.20781250000000001</v>
      </c>
      <c r="AF40" s="67">
        <v>0.56270450751252099</v>
      </c>
      <c r="AG40" s="23">
        <f t="shared" si="0"/>
        <v>35</v>
      </c>
      <c r="AH40" s="64" t="s">
        <v>1061</v>
      </c>
      <c r="AI40" s="65">
        <v>0.2077391975308642</v>
      </c>
      <c r="AJ40" s="66">
        <v>222</v>
      </c>
      <c r="AK40" s="67">
        <v>0.57455771227955232</v>
      </c>
    </row>
    <row r="41" spans="1:37" ht="14.4" customHeight="1" x14ac:dyDescent="0.3">
      <c r="A41" s="41"/>
      <c r="B41" s="41"/>
      <c r="C41" s="25"/>
      <c r="D41" s="52"/>
      <c r="E41" s="52"/>
      <c r="F41" s="25"/>
      <c r="G41" s="41"/>
      <c r="H41" s="41"/>
      <c r="I41" s="25"/>
      <c r="J41" s="16"/>
      <c r="K41" s="39"/>
      <c r="L41" s="25"/>
      <c r="M41" s="25"/>
      <c r="N41" s="25"/>
      <c r="O41" s="25"/>
      <c r="P41" s="25"/>
      <c r="Q41" s="25"/>
      <c r="R41" s="25"/>
      <c r="Y41" s="64" t="s">
        <v>1078</v>
      </c>
      <c r="AA41" s="64" t="s">
        <v>1081</v>
      </c>
      <c r="AB41" s="66">
        <v>64</v>
      </c>
      <c r="AC41" s="65">
        <v>0.34471064814814817</v>
      </c>
      <c r="AD41" s="65">
        <v>4.8564814814814818E-2</v>
      </c>
      <c r="AE41" s="68">
        <v>0.20981481481481482</v>
      </c>
      <c r="AF41" s="67">
        <v>0.57680556021891705</v>
      </c>
      <c r="AG41" s="23">
        <f t="shared" si="0"/>
        <v>36</v>
      </c>
      <c r="AH41" s="64" t="s">
        <v>1115</v>
      </c>
      <c r="AI41" s="65">
        <v>0.20746527777777779</v>
      </c>
      <c r="AJ41" s="66">
        <v>28</v>
      </c>
      <c r="AK41" s="67">
        <v>0.55914916459773201</v>
      </c>
    </row>
    <row r="42" spans="1:37" ht="14.4" customHeight="1" x14ac:dyDescent="0.3">
      <c r="A42" s="19"/>
      <c r="B42" s="19"/>
      <c r="C42" s="18"/>
      <c r="D42" s="20"/>
      <c r="E42" s="20"/>
      <c r="F42" s="18"/>
      <c r="G42" s="18"/>
      <c r="H42" s="18"/>
      <c r="I42" s="18"/>
      <c r="J42" s="18"/>
      <c r="K42" s="25"/>
      <c r="L42" s="25"/>
      <c r="M42" s="25"/>
      <c r="N42" s="25"/>
      <c r="O42" s="25"/>
      <c r="P42" s="25"/>
      <c r="Q42" s="25"/>
      <c r="R42" s="25"/>
      <c r="Y42" s="64" t="s">
        <v>1079</v>
      </c>
      <c r="AA42" s="64" t="s">
        <v>1082</v>
      </c>
      <c r="AB42" s="66">
        <v>63</v>
      </c>
      <c r="AC42" s="65">
        <v>0.31923611111111111</v>
      </c>
      <c r="AD42" s="65">
        <v>6.1215277777777778E-2</v>
      </c>
      <c r="AE42" s="68">
        <v>0.18953703703703703</v>
      </c>
      <c r="AF42" s="67">
        <v>0.55728373576970502</v>
      </c>
      <c r="AG42" s="23">
        <f t="shared" si="0"/>
        <v>37</v>
      </c>
      <c r="AH42" s="64" t="s">
        <v>1016</v>
      </c>
      <c r="AI42" s="65">
        <v>0.20733796296296297</v>
      </c>
      <c r="AJ42" s="66">
        <v>23</v>
      </c>
      <c r="AK42" s="67">
        <v>0.58027306967984904</v>
      </c>
    </row>
    <row r="43" spans="1:37" ht="14.4" customHeight="1" x14ac:dyDescent="0.3">
      <c r="A43" s="43" t="s">
        <v>1057</v>
      </c>
      <c r="B43" s="44"/>
      <c r="C43" s="25"/>
      <c r="D43" s="43" t="s">
        <v>1060</v>
      </c>
      <c r="E43" s="45"/>
      <c r="F43" s="25"/>
      <c r="G43" s="43" t="s">
        <v>1056</v>
      </c>
      <c r="H43" s="46"/>
      <c r="I43" s="46"/>
      <c r="J43" s="46"/>
      <c r="K43" s="25"/>
      <c r="L43" s="25"/>
      <c r="M43" s="25"/>
      <c r="N43" s="25"/>
      <c r="O43" s="25"/>
      <c r="P43" s="25"/>
      <c r="Q43" s="25"/>
      <c r="R43" s="25"/>
      <c r="Y43" s="64" t="s">
        <v>1080</v>
      </c>
      <c r="AA43" s="64" t="s">
        <v>1083</v>
      </c>
      <c r="AB43" s="66">
        <v>62</v>
      </c>
      <c r="AC43" s="65">
        <v>0.34128472222222223</v>
      </c>
      <c r="AD43" s="65">
        <v>0.10777777777777778</v>
      </c>
      <c r="AE43" s="68">
        <v>0.17200231481481482</v>
      </c>
      <c r="AF43" s="67">
        <v>0.47590463594126198</v>
      </c>
      <c r="AG43" s="23">
        <f t="shared" si="0"/>
        <v>38</v>
      </c>
      <c r="AH43" s="64" t="s">
        <v>1088</v>
      </c>
      <c r="AI43" s="65">
        <v>0.20725694444444445</v>
      </c>
      <c r="AJ43" s="66">
        <v>57</v>
      </c>
      <c r="AK43" s="67">
        <v>0.572258996673499</v>
      </c>
    </row>
    <row r="44" spans="1:37" ht="14.4" customHeight="1" x14ac:dyDescent="0.3">
      <c r="A44" s="44"/>
      <c r="B44" s="44"/>
      <c r="C44" s="25"/>
      <c r="D44" s="45"/>
      <c r="E44" s="45"/>
      <c r="F44" s="25"/>
      <c r="G44" s="46"/>
      <c r="H44" s="46"/>
      <c r="I44" s="46"/>
      <c r="J44" s="46"/>
      <c r="K44" s="25"/>
      <c r="L44" s="25"/>
      <c r="M44" s="25"/>
      <c r="N44" s="25"/>
      <c r="O44" s="25"/>
      <c r="P44" s="25"/>
      <c r="Q44" s="25"/>
      <c r="R44" s="25"/>
      <c r="Y44" s="64" t="s">
        <v>1081</v>
      </c>
      <c r="AA44" s="64" t="s">
        <v>1084</v>
      </c>
      <c r="AB44" s="66">
        <v>61</v>
      </c>
      <c r="AC44" s="65">
        <v>0.34012731481481484</v>
      </c>
      <c r="AD44" s="65">
        <v>4.8333333333333332E-2</v>
      </c>
      <c r="AE44" s="68">
        <v>0.20243055555555556</v>
      </c>
      <c r="AF44" s="67">
        <v>0.55636846224520997</v>
      </c>
      <c r="AG44" s="23">
        <f t="shared" si="0"/>
        <v>39</v>
      </c>
      <c r="AH44" s="64" t="s">
        <v>1067</v>
      </c>
      <c r="AI44" s="65">
        <v>0.20710648148148147</v>
      </c>
      <c r="AJ44" s="66">
        <v>78</v>
      </c>
      <c r="AK44" s="67">
        <v>0.57495313336904097</v>
      </c>
    </row>
    <row r="45" spans="1:37" ht="14.4" customHeight="1" x14ac:dyDescent="0.3">
      <c r="A45" s="44"/>
      <c r="B45" s="44"/>
      <c r="C45" s="25"/>
      <c r="D45" s="45"/>
      <c r="E45" s="45"/>
      <c r="F45" s="25"/>
      <c r="G45" s="46"/>
      <c r="H45" s="46"/>
      <c r="I45" s="46"/>
      <c r="J45" s="46"/>
      <c r="K45" s="25"/>
      <c r="L45" s="25"/>
      <c r="M45" s="25"/>
      <c r="N45" s="25"/>
      <c r="O45" s="25"/>
      <c r="P45" s="25"/>
      <c r="Q45" s="25"/>
      <c r="R45" s="25"/>
      <c r="Y45" s="64" t="s">
        <v>1082</v>
      </c>
      <c r="AA45" s="64" t="s">
        <v>1085</v>
      </c>
      <c r="AB45" s="66">
        <v>60</v>
      </c>
      <c r="AC45" s="65">
        <v>0.3442824074074074</v>
      </c>
      <c r="AD45" s="65">
        <v>4.912037037037037E-2</v>
      </c>
      <c r="AE45" s="68">
        <v>0.20569444444444446</v>
      </c>
      <c r="AF45" s="67">
        <v>0.527970147246689</v>
      </c>
      <c r="AG45" s="23">
        <f t="shared" si="0"/>
        <v>40</v>
      </c>
      <c r="AH45" s="64" t="s">
        <v>1132</v>
      </c>
      <c r="AI45" s="65">
        <v>0.20708333333333334</v>
      </c>
      <c r="AJ45" s="66">
        <v>45</v>
      </c>
      <c r="AK45" s="67">
        <v>0.56029910728991705</v>
      </c>
    </row>
    <row r="46" spans="1:37" ht="14.4" customHeight="1" x14ac:dyDescent="0.3">
      <c r="A46" s="41">
        <f>Y11</f>
        <v>149</v>
      </c>
      <c r="B46" s="41"/>
      <c r="C46" s="25"/>
      <c r="D46" s="42" t="str">
        <f>W27</f>
        <v>Delhi</v>
      </c>
      <c r="E46" s="42"/>
      <c r="F46" s="25"/>
      <c r="G46" s="47">
        <f>W14*100</f>
        <v>50.001199461830062</v>
      </c>
      <c r="H46" s="47"/>
      <c r="I46" s="47"/>
      <c r="J46" s="47"/>
      <c r="K46" s="25"/>
      <c r="L46" s="25"/>
      <c r="M46" s="25"/>
      <c r="N46" s="25"/>
      <c r="O46" s="25"/>
      <c r="P46" s="25"/>
      <c r="Q46" s="25"/>
      <c r="R46" s="25"/>
      <c r="Y46" s="64" t="s">
        <v>1083</v>
      </c>
      <c r="AA46" s="64" t="s">
        <v>1086</v>
      </c>
      <c r="AB46" s="66">
        <v>59</v>
      </c>
      <c r="AC46" s="65">
        <v>0.3439699074074074</v>
      </c>
      <c r="AD46" s="65">
        <v>4.8923611111111112E-2</v>
      </c>
      <c r="AE46" s="68">
        <v>0.20620370370370369</v>
      </c>
      <c r="AF46" s="67">
        <v>0.565025741108382</v>
      </c>
      <c r="AG46" s="23">
        <f t="shared" si="0"/>
        <v>41</v>
      </c>
      <c r="AH46" s="64" t="s">
        <v>1022</v>
      </c>
      <c r="AI46" s="65">
        <v>0.20702546296296295</v>
      </c>
      <c r="AJ46" s="66">
        <v>54</v>
      </c>
      <c r="AK46" s="67">
        <v>0.56868945774108703</v>
      </c>
    </row>
    <row r="47" spans="1:37" ht="14.4" customHeight="1" x14ac:dyDescent="0.3">
      <c r="A47" s="41"/>
      <c r="B47" s="41"/>
      <c r="C47" s="25"/>
      <c r="D47" s="42"/>
      <c r="E47" s="42"/>
      <c r="F47" s="25"/>
      <c r="G47" s="47"/>
      <c r="H47" s="47"/>
      <c r="I47" s="47"/>
      <c r="J47" s="47"/>
      <c r="K47" s="25"/>
      <c r="L47" s="25"/>
      <c r="M47" s="25"/>
      <c r="N47" s="25"/>
      <c r="O47" s="25"/>
      <c r="P47" s="25"/>
      <c r="Q47" s="25"/>
      <c r="R47" s="25"/>
      <c r="Y47" s="64" t="s">
        <v>1084</v>
      </c>
      <c r="AA47" s="64" t="s">
        <v>1087</v>
      </c>
      <c r="AB47" s="66">
        <v>58</v>
      </c>
      <c r="AC47" s="65">
        <v>0.34541666666666665</v>
      </c>
      <c r="AD47" s="65">
        <v>4.8750000000000002E-2</v>
      </c>
      <c r="AE47" s="68">
        <v>0.22590277777777779</v>
      </c>
      <c r="AF47" s="67">
        <v>0.48579278917035301</v>
      </c>
      <c r="AG47" s="23">
        <f t="shared" si="0"/>
        <v>42</v>
      </c>
      <c r="AH47" s="64" t="s">
        <v>1015</v>
      </c>
      <c r="AI47" s="65">
        <v>0.20693287037037036</v>
      </c>
      <c r="AJ47" s="66">
        <v>98</v>
      </c>
      <c r="AK47" s="67">
        <v>0.55697138822580095</v>
      </c>
    </row>
    <row r="48" spans="1:37" ht="14.4" customHeight="1" x14ac:dyDescent="0.3">
      <c r="A48" s="41"/>
      <c r="B48" s="41"/>
      <c r="C48" s="25"/>
      <c r="D48" s="42"/>
      <c r="E48" s="42"/>
      <c r="F48" s="25"/>
      <c r="G48" s="47"/>
      <c r="H48" s="47"/>
      <c r="I48" s="47"/>
      <c r="J48" s="47"/>
      <c r="K48" s="25"/>
      <c r="L48" s="25"/>
      <c r="M48" s="25"/>
      <c r="N48" s="25"/>
      <c r="O48" s="25"/>
      <c r="P48" s="25"/>
      <c r="Q48" s="25"/>
      <c r="R48" s="25"/>
      <c r="Y48" s="64" t="s">
        <v>1085</v>
      </c>
      <c r="AA48" s="64" t="s">
        <v>1088</v>
      </c>
      <c r="AB48" s="66">
        <v>57</v>
      </c>
      <c r="AC48" s="65">
        <v>0.34445601851851854</v>
      </c>
      <c r="AD48" s="65">
        <v>4.6990740740740743E-2</v>
      </c>
      <c r="AE48" s="68">
        <v>0.20725694444444445</v>
      </c>
      <c r="AF48" s="67">
        <v>0.572258996673499</v>
      </c>
      <c r="AG48" s="23">
        <f t="shared" si="0"/>
        <v>43</v>
      </c>
      <c r="AH48" s="64" t="s">
        <v>1027</v>
      </c>
      <c r="AI48" s="65">
        <v>0.2066550925925926</v>
      </c>
      <c r="AJ48" s="66">
        <v>83</v>
      </c>
      <c r="AK48" s="67">
        <v>0.510580502364264</v>
      </c>
    </row>
    <row r="49" spans="1:37" ht="14.4" customHeight="1" x14ac:dyDescent="0.3">
      <c r="A49" s="41"/>
      <c r="B49" s="41"/>
      <c r="C49" s="25"/>
      <c r="D49" s="42"/>
      <c r="E49" s="42"/>
      <c r="F49" s="25"/>
      <c r="G49" s="47"/>
      <c r="H49" s="47"/>
      <c r="I49" s="47"/>
      <c r="J49" s="47"/>
      <c r="K49" s="25"/>
      <c r="L49" s="25"/>
      <c r="M49" s="25"/>
      <c r="N49" s="25"/>
      <c r="O49" s="25"/>
      <c r="P49" s="25"/>
      <c r="Q49" s="25"/>
      <c r="R49" s="25"/>
      <c r="Y49" s="64" t="s">
        <v>1086</v>
      </c>
      <c r="AA49" s="64" t="s">
        <v>1089</v>
      </c>
      <c r="AB49" s="66">
        <v>56</v>
      </c>
      <c r="AC49" s="65">
        <v>0.3334259259259259</v>
      </c>
      <c r="AD49" s="65">
        <v>0.10062500000000001</v>
      </c>
      <c r="AE49" s="68">
        <v>0.16271990740740741</v>
      </c>
      <c r="AF49" s="67">
        <v>0.46542627048042201</v>
      </c>
      <c r="AG49" s="23">
        <f t="shared" si="0"/>
        <v>44</v>
      </c>
      <c r="AH49" s="64" t="s">
        <v>1086</v>
      </c>
      <c r="AI49" s="65">
        <v>0.20620370370370369</v>
      </c>
      <c r="AJ49" s="66">
        <v>59</v>
      </c>
      <c r="AK49" s="67">
        <v>0.565025741108382</v>
      </c>
    </row>
    <row r="50" spans="1:37" x14ac:dyDescent="0.3">
      <c r="A50" s="18"/>
      <c r="B50" s="18"/>
      <c r="C50" s="18"/>
      <c r="D50" s="18"/>
      <c r="E50" s="18"/>
      <c r="F50" s="18"/>
      <c r="G50" s="18"/>
      <c r="H50" s="18"/>
      <c r="I50" s="18"/>
      <c r="J50" s="18"/>
      <c r="K50" s="18"/>
      <c r="L50" s="18"/>
      <c r="M50" s="18"/>
      <c r="N50" s="18"/>
      <c r="O50" s="18"/>
      <c r="P50" s="18"/>
      <c r="Q50" s="18"/>
      <c r="R50" s="18"/>
      <c r="Y50" s="64" t="s">
        <v>1087</v>
      </c>
      <c r="AA50" s="64" t="s">
        <v>1090</v>
      </c>
      <c r="AB50" s="66">
        <v>55</v>
      </c>
      <c r="AC50" s="65">
        <v>0.20945601851851853</v>
      </c>
      <c r="AD50" s="65">
        <v>1.0416666666666666E-2</v>
      </c>
      <c r="AE50" s="68">
        <v>0.13993055555555556</v>
      </c>
      <c r="AF50" s="67">
        <v>0.64380836602751801</v>
      </c>
      <c r="AG50" s="23">
        <f t="shared" si="0"/>
        <v>45</v>
      </c>
      <c r="AH50" s="64" t="s">
        <v>1074</v>
      </c>
      <c r="AI50" s="65">
        <v>0.20607638888888888</v>
      </c>
      <c r="AJ50" s="66">
        <v>71</v>
      </c>
      <c r="AK50" s="67">
        <v>0.55001844461584903</v>
      </c>
    </row>
    <row r="51" spans="1:37" x14ac:dyDescent="0.3">
      <c r="Y51" s="64" t="s">
        <v>1088</v>
      </c>
      <c r="AA51" s="64" t="s">
        <v>1091</v>
      </c>
      <c r="AB51" s="66">
        <v>54</v>
      </c>
      <c r="AC51" s="65">
        <v>0.35192129629629632</v>
      </c>
      <c r="AD51" s="65">
        <v>4.8437500000000001E-2</v>
      </c>
      <c r="AE51" s="68">
        <v>0.22140046296296295</v>
      </c>
      <c r="AF51" s="67">
        <v>0.57347234098533195</v>
      </c>
      <c r="AG51" s="23">
        <f t="shared" si="0"/>
        <v>46</v>
      </c>
      <c r="AH51" s="64" t="s">
        <v>1085</v>
      </c>
      <c r="AI51" s="65">
        <v>0.20569444444444446</v>
      </c>
      <c r="AJ51" s="66">
        <v>60</v>
      </c>
      <c r="AK51" s="67">
        <v>0.527970147246689</v>
      </c>
    </row>
    <row r="52" spans="1:37" x14ac:dyDescent="0.3">
      <c r="Y52" s="64" t="s">
        <v>1089</v>
      </c>
      <c r="AA52" s="64" t="s">
        <v>1092</v>
      </c>
      <c r="AB52" s="66">
        <v>53</v>
      </c>
      <c r="AC52" s="65">
        <v>0.32876157407407408</v>
      </c>
      <c r="AD52" s="65">
        <v>3.9108796296296294E-2</v>
      </c>
      <c r="AE52" s="68">
        <v>0.22660879629629629</v>
      </c>
      <c r="AF52" s="67">
        <v>0.64717479317021698</v>
      </c>
      <c r="AG52" s="23">
        <f t="shared" si="0"/>
        <v>47</v>
      </c>
      <c r="AH52" s="64" t="s">
        <v>1023</v>
      </c>
      <c r="AI52" s="65">
        <v>0.20518518518518519</v>
      </c>
      <c r="AJ52" s="66">
        <v>87</v>
      </c>
      <c r="AK52" s="67">
        <v>0.56035332087650802</v>
      </c>
    </row>
    <row r="53" spans="1:37" x14ac:dyDescent="0.3">
      <c r="Y53" s="64" t="s">
        <v>1090</v>
      </c>
      <c r="AA53" s="64" t="s">
        <v>1093</v>
      </c>
      <c r="AB53" s="66">
        <v>52</v>
      </c>
      <c r="AC53" s="65">
        <v>0.33435185185185184</v>
      </c>
      <c r="AD53" s="65">
        <v>9.0555555555555556E-2</v>
      </c>
      <c r="AE53" s="68">
        <v>0.17586805555555557</v>
      </c>
      <c r="AF53" s="67">
        <v>0.50443090556632497</v>
      </c>
      <c r="AG53" s="23">
        <f t="shared" si="0"/>
        <v>48</v>
      </c>
      <c r="AH53" s="64" t="s">
        <v>1168</v>
      </c>
      <c r="AI53" s="65">
        <v>0.20476851851851852</v>
      </c>
      <c r="AJ53" s="66">
        <v>86</v>
      </c>
      <c r="AK53" s="67">
        <v>0.55581995508931903</v>
      </c>
    </row>
    <row r="54" spans="1:37" x14ac:dyDescent="0.3">
      <c r="Y54" s="64" t="s">
        <v>1091</v>
      </c>
      <c r="AA54" s="64" t="s">
        <v>1094</v>
      </c>
      <c r="AB54" s="66">
        <v>51</v>
      </c>
      <c r="AC54" s="65">
        <v>0.34831018518518519</v>
      </c>
      <c r="AD54" s="65">
        <v>4.8240740740740744E-2</v>
      </c>
      <c r="AE54" s="68">
        <v>0.21436342592592592</v>
      </c>
      <c r="AF54" s="67">
        <v>0.55280122283511701</v>
      </c>
      <c r="AG54" s="23">
        <f t="shared" si="0"/>
        <v>49</v>
      </c>
      <c r="AH54" s="64" t="s">
        <v>1112</v>
      </c>
      <c r="AI54" s="65">
        <v>0.20438657407407407</v>
      </c>
      <c r="AJ54" s="66">
        <v>31</v>
      </c>
      <c r="AK54" s="67">
        <v>0.55550735760285597</v>
      </c>
    </row>
    <row r="55" spans="1:37" x14ac:dyDescent="0.3">
      <c r="Y55" s="64" t="s">
        <v>1092</v>
      </c>
      <c r="AA55" s="64" t="s">
        <v>1095</v>
      </c>
      <c r="AB55" s="66">
        <v>50</v>
      </c>
      <c r="AC55" s="65">
        <v>0.34407407407407409</v>
      </c>
      <c r="AD55" s="65">
        <v>4.8437500000000001E-2</v>
      </c>
      <c r="AE55" s="68">
        <v>0.19798611111111111</v>
      </c>
      <c r="AF55" s="67">
        <v>0.55493137782561897</v>
      </c>
      <c r="AG55" s="23">
        <f t="shared" si="0"/>
        <v>50</v>
      </c>
      <c r="AH55" s="64" t="s">
        <v>1068</v>
      </c>
      <c r="AI55" s="65">
        <v>0.20393518518518519</v>
      </c>
      <c r="AJ55" s="66">
        <v>77</v>
      </c>
      <c r="AK55" s="67">
        <v>0.57945376590932096</v>
      </c>
    </row>
    <row r="56" spans="1:37" x14ac:dyDescent="0.3">
      <c r="Y56" s="64" t="s">
        <v>1093</v>
      </c>
      <c r="AA56" s="64" t="s">
        <v>1096</v>
      </c>
      <c r="AB56" s="66">
        <v>49</v>
      </c>
      <c r="AC56" s="65">
        <v>0.33285879629629628</v>
      </c>
      <c r="AD56" s="65">
        <v>4.8738425925925928E-2</v>
      </c>
      <c r="AE56" s="68">
        <v>0.19598379629629631</v>
      </c>
      <c r="AF56" s="67">
        <v>0.55217497131332804</v>
      </c>
      <c r="AG56" s="23">
        <f t="shared" si="0"/>
        <v>51</v>
      </c>
      <c r="AH56" s="64" t="s">
        <v>1139</v>
      </c>
      <c r="AI56" s="65">
        <v>0.20351851851851852</v>
      </c>
      <c r="AJ56" s="66">
        <v>54</v>
      </c>
      <c r="AK56" s="67">
        <v>0.55259293866381898</v>
      </c>
    </row>
    <row r="57" spans="1:37" x14ac:dyDescent="0.3">
      <c r="H57" s="24"/>
      <c r="Y57" s="64" t="s">
        <v>1094</v>
      </c>
      <c r="AA57" s="64" t="s">
        <v>1097</v>
      </c>
      <c r="AB57" s="66">
        <v>48</v>
      </c>
      <c r="AC57" s="65">
        <v>0.20570601851851852</v>
      </c>
      <c r="AD57" s="65">
        <v>1.2615740740740742E-2</v>
      </c>
      <c r="AE57" s="68">
        <v>0.13252314814814814</v>
      </c>
      <c r="AF57" s="67">
        <v>0.58819557756147001</v>
      </c>
      <c r="AG57" s="23">
        <f t="shared" si="0"/>
        <v>52</v>
      </c>
      <c r="AH57" s="64" t="s">
        <v>1021</v>
      </c>
      <c r="AI57" s="65">
        <v>0.20311342592592593</v>
      </c>
      <c r="AJ57" s="66">
        <v>89</v>
      </c>
      <c r="AK57" s="67">
        <v>0.55206432867085597</v>
      </c>
    </row>
    <row r="58" spans="1:37" x14ac:dyDescent="0.3">
      <c r="Y58" s="64" t="s">
        <v>1095</v>
      </c>
      <c r="AA58" s="64" t="s">
        <v>1098</v>
      </c>
      <c r="AB58" s="66">
        <v>47</v>
      </c>
      <c r="AC58" s="65">
        <v>0.32318287037037036</v>
      </c>
      <c r="AD58" s="65">
        <v>5.1898148148148152E-2</v>
      </c>
      <c r="AE58" s="68">
        <v>0.19381944444444443</v>
      </c>
      <c r="AF58" s="67">
        <v>0.55534863732407003</v>
      </c>
      <c r="AG58" s="23">
        <f t="shared" si="0"/>
        <v>53</v>
      </c>
      <c r="AH58" s="64" t="s">
        <v>1148</v>
      </c>
      <c r="AI58" s="65">
        <v>0.20292824074074073</v>
      </c>
      <c r="AJ58" s="66">
        <v>63</v>
      </c>
      <c r="AK58" s="67">
        <v>0.55517503805174995</v>
      </c>
    </row>
    <row r="59" spans="1:37" x14ac:dyDescent="0.3">
      <c r="Y59" s="64" t="s">
        <v>1096</v>
      </c>
      <c r="AA59" s="64" t="s">
        <v>1099</v>
      </c>
      <c r="AB59" s="66">
        <v>46</v>
      </c>
      <c r="AC59" s="65">
        <v>0.33348379629629632</v>
      </c>
      <c r="AD59" s="65">
        <v>4.8657407407407406E-2</v>
      </c>
      <c r="AE59" s="68">
        <v>0.19890046296296296</v>
      </c>
      <c r="AF59" s="67">
        <v>0.55815083469267301</v>
      </c>
      <c r="AG59" s="23">
        <f t="shared" si="0"/>
        <v>54</v>
      </c>
      <c r="AH59" s="64" t="s">
        <v>1152</v>
      </c>
      <c r="AI59" s="65">
        <v>0.2029050925925926</v>
      </c>
      <c r="AJ59" s="66">
        <v>67</v>
      </c>
      <c r="AK59" s="67">
        <v>0.55305265350039901</v>
      </c>
    </row>
    <row r="60" spans="1:37" x14ac:dyDescent="0.3">
      <c r="Y60" s="64" t="s">
        <v>1097</v>
      </c>
      <c r="AA60" s="64" t="s">
        <v>1100</v>
      </c>
      <c r="AB60" s="66">
        <v>45</v>
      </c>
      <c r="AC60" s="65">
        <v>0.34015046296296297</v>
      </c>
      <c r="AD60" s="65">
        <v>4.8715277777777781E-2</v>
      </c>
      <c r="AE60" s="68">
        <v>0.20222222222222222</v>
      </c>
      <c r="AF60" s="67">
        <v>0.53002824185919895</v>
      </c>
      <c r="AG60" s="23">
        <f t="shared" si="0"/>
        <v>55</v>
      </c>
      <c r="AH60" s="64" t="s">
        <v>1182</v>
      </c>
      <c r="AI60" s="65">
        <v>0.20268518518518519</v>
      </c>
      <c r="AJ60" s="66">
        <v>102</v>
      </c>
      <c r="AK60" s="67">
        <v>0.56375322197301903</v>
      </c>
    </row>
    <row r="61" spans="1:37" x14ac:dyDescent="0.3">
      <c r="Y61" s="64" t="s">
        <v>1098</v>
      </c>
      <c r="AA61" s="64" t="s">
        <v>1101</v>
      </c>
      <c r="AB61" s="66">
        <v>44</v>
      </c>
      <c r="AC61" s="65">
        <v>0.34311342592592592</v>
      </c>
      <c r="AD61" s="65">
        <v>4.9062500000000002E-2</v>
      </c>
      <c r="AE61" s="68">
        <v>0.21112268518518518</v>
      </c>
      <c r="AF61" s="67">
        <v>0.54639905548996504</v>
      </c>
      <c r="AG61" s="23">
        <f t="shared" si="0"/>
        <v>56</v>
      </c>
      <c r="AH61" s="64" t="s">
        <v>1160</v>
      </c>
      <c r="AI61" s="65">
        <v>0.20261574074074074</v>
      </c>
      <c r="AJ61" s="66">
        <v>78</v>
      </c>
      <c r="AK61" s="67">
        <v>0.54633099407235797</v>
      </c>
    </row>
    <row r="62" spans="1:37" x14ac:dyDescent="0.3">
      <c r="Y62" s="64" t="s">
        <v>1099</v>
      </c>
      <c r="AA62" s="64" t="s">
        <v>1102</v>
      </c>
      <c r="AB62" s="66">
        <v>43</v>
      </c>
      <c r="AC62" s="65">
        <v>0.32046296296296295</v>
      </c>
      <c r="AD62" s="65">
        <v>4.9143518518518517E-2</v>
      </c>
      <c r="AE62" s="68">
        <v>0.18484953703703705</v>
      </c>
      <c r="AF62" s="67">
        <v>0.52849609939323905</v>
      </c>
      <c r="AG62" s="23">
        <f t="shared" si="0"/>
        <v>57</v>
      </c>
      <c r="AH62" s="64" t="s">
        <v>1084</v>
      </c>
      <c r="AI62" s="65">
        <v>0.20243055555555556</v>
      </c>
      <c r="AJ62" s="66">
        <v>61</v>
      </c>
      <c r="AK62" s="67">
        <v>0.55636846224520997</v>
      </c>
    </row>
    <row r="63" spans="1:37" x14ac:dyDescent="0.3">
      <c r="Y63" s="64" t="s">
        <v>1100</v>
      </c>
      <c r="AA63" s="64" t="s">
        <v>1065</v>
      </c>
      <c r="AB63" s="66">
        <v>83</v>
      </c>
      <c r="AC63" s="65">
        <v>0.66396990740740747</v>
      </c>
      <c r="AD63" s="65">
        <v>0.1012962962962963</v>
      </c>
      <c r="AE63" s="68">
        <v>0.37417824074074074</v>
      </c>
      <c r="AF63" s="67">
        <v>1.064298009533315</v>
      </c>
      <c r="AG63" s="23">
        <f t="shared" si="0"/>
        <v>17</v>
      </c>
      <c r="AH63" s="64" t="s">
        <v>1100</v>
      </c>
      <c r="AI63" s="65">
        <v>0.20222222222222222</v>
      </c>
      <c r="AJ63" s="66">
        <v>45</v>
      </c>
      <c r="AK63" s="67">
        <v>0.53002824185919895</v>
      </c>
    </row>
    <row r="64" spans="1:37" x14ac:dyDescent="0.3">
      <c r="Y64" s="64" t="s">
        <v>1101</v>
      </c>
      <c r="AA64" s="64" t="s">
        <v>1103</v>
      </c>
      <c r="AB64" s="66">
        <v>40</v>
      </c>
      <c r="AC64" s="65">
        <v>0.34032407407407406</v>
      </c>
      <c r="AD64" s="65">
        <v>4.9756944444444444E-2</v>
      </c>
      <c r="AE64" s="68">
        <v>0.21151620370370369</v>
      </c>
      <c r="AF64" s="67">
        <v>0.58954564004897303</v>
      </c>
      <c r="AG64" s="23">
        <f t="shared" si="0"/>
        <v>60</v>
      </c>
      <c r="AH64" s="64" t="s">
        <v>1178</v>
      </c>
      <c r="AI64" s="65">
        <v>0.20146990740740742</v>
      </c>
      <c r="AJ64" s="66">
        <v>98</v>
      </c>
      <c r="AK64" s="67">
        <v>0.52431431936732298</v>
      </c>
    </row>
    <row r="65" spans="25:37" x14ac:dyDescent="0.3">
      <c r="Y65" s="64" t="s">
        <v>1102</v>
      </c>
      <c r="AA65" s="64" t="s">
        <v>1104</v>
      </c>
      <c r="AB65" s="66">
        <v>39</v>
      </c>
      <c r="AC65" s="65">
        <v>0.33714120370370371</v>
      </c>
      <c r="AD65" s="65">
        <v>0.14913194444444444</v>
      </c>
      <c r="AE65" s="68">
        <v>0.13162037037037036</v>
      </c>
      <c r="AF65" s="67">
        <v>0.34903360911806097</v>
      </c>
      <c r="AG65" s="23">
        <f t="shared" si="0"/>
        <v>61</v>
      </c>
      <c r="AH65" s="64" t="s">
        <v>1017</v>
      </c>
      <c r="AI65" s="65">
        <v>0.20109953703703703</v>
      </c>
      <c r="AJ65" s="66">
        <v>28</v>
      </c>
      <c r="AK65" s="67">
        <v>0.51708756749505302</v>
      </c>
    </row>
    <row r="66" spans="25:37" x14ac:dyDescent="0.3">
      <c r="Y66" s="64" t="s">
        <v>1065</v>
      </c>
      <c r="AA66" s="64" t="s">
        <v>1105</v>
      </c>
      <c r="AB66" s="66">
        <v>38</v>
      </c>
      <c r="AC66" s="65">
        <v>0.34364583333333332</v>
      </c>
      <c r="AD66" s="65">
        <v>9.194444444444444E-2</v>
      </c>
      <c r="AE66" s="68">
        <v>0.17246527777777779</v>
      </c>
      <c r="AF66" s="67">
        <v>0.47933717288067101</v>
      </c>
      <c r="AG66" s="23">
        <f t="shared" si="0"/>
        <v>62</v>
      </c>
      <c r="AH66" s="64" t="s">
        <v>1142</v>
      </c>
      <c r="AI66" s="65">
        <v>0.19934027777777777</v>
      </c>
      <c r="AJ66" s="66">
        <v>57</v>
      </c>
      <c r="AK66" s="67">
        <v>0.53862155040909698</v>
      </c>
    </row>
    <row r="67" spans="25:37" x14ac:dyDescent="0.3">
      <c r="Y67" s="64" t="s">
        <v>1103</v>
      </c>
      <c r="AA67" s="64" t="s">
        <v>1106</v>
      </c>
      <c r="AB67" s="66">
        <v>37</v>
      </c>
      <c r="AC67" s="65">
        <v>0.21915509259259258</v>
      </c>
      <c r="AD67" s="65">
        <v>1.0821759259259258E-2</v>
      </c>
      <c r="AE67" s="68">
        <v>0.15189814814814814</v>
      </c>
      <c r="AF67" s="67">
        <v>0.62762080802746201</v>
      </c>
      <c r="AG67" s="23">
        <f t="shared" si="0"/>
        <v>63</v>
      </c>
      <c r="AH67" s="64" t="s">
        <v>1099</v>
      </c>
      <c r="AI67" s="65">
        <v>0.19890046296296296</v>
      </c>
      <c r="AJ67" s="66">
        <v>46</v>
      </c>
      <c r="AK67" s="67">
        <v>0.55815083469267301</v>
      </c>
    </row>
    <row r="68" spans="25:37" x14ac:dyDescent="0.3">
      <c r="Y68" s="64" t="s">
        <v>1104</v>
      </c>
      <c r="AA68" s="64" t="s">
        <v>1107</v>
      </c>
      <c r="AB68" s="66">
        <v>36</v>
      </c>
      <c r="AC68" s="65">
        <v>0.3417824074074074</v>
      </c>
      <c r="AD68" s="65">
        <v>9.2442129629629624E-2</v>
      </c>
      <c r="AE68" s="68">
        <v>0.17645833333333333</v>
      </c>
      <c r="AF68" s="67">
        <v>0.47561801557737898</v>
      </c>
      <c r="AG68" s="23">
        <f t="shared" si="0"/>
        <v>64</v>
      </c>
      <c r="AH68" s="64" t="s">
        <v>1095</v>
      </c>
      <c r="AI68" s="65">
        <v>0.19798611111111111</v>
      </c>
      <c r="AJ68" s="66">
        <v>50</v>
      </c>
      <c r="AK68" s="67">
        <v>0.55493137782561897</v>
      </c>
    </row>
    <row r="69" spans="25:37" x14ac:dyDescent="0.3">
      <c r="Y69" s="64" t="s">
        <v>1105</v>
      </c>
      <c r="AA69" s="64" t="s">
        <v>1108</v>
      </c>
      <c r="AB69" s="66">
        <v>35</v>
      </c>
      <c r="AC69" s="65">
        <v>0.33370370370370372</v>
      </c>
      <c r="AD69" s="65">
        <v>0.11005787037037038</v>
      </c>
      <c r="AE69" s="68">
        <v>0.16336805555555556</v>
      </c>
      <c r="AF69" s="67">
        <v>0.43635543840177599</v>
      </c>
      <c r="AG69" s="23">
        <f t="shared" si="0"/>
        <v>65</v>
      </c>
      <c r="AH69" s="64" t="s">
        <v>1116</v>
      </c>
      <c r="AI69" s="65">
        <v>0.19787037037037036</v>
      </c>
      <c r="AJ69" s="66">
        <v>29</v>
      </c>
      <c r="AK69" s="67">
        <v>0.56847106148351101</v>
      </c>
    </row>
    <row r="70" spans="25:37" x14ac:dyDescent="0.3">
      <c r="Y70" s="64" t="s">
        <v>1106</v>
      </c>
      <c r="AA70" s="64" t="s">
        <v>1109</v>
      </c>
      <c r="AB70" s="66">
        <v>34</v>
      </c>
      <c r="AC70" s="65">
        <v>0.33026620370370369</v>
      </c>
      <c r="AD70" s="65">
        <v>0.10043981481481482</v>
      </c>
      <c r="AE70" s="68">
        <v>0.16021990740740741</v>
      </c>
      <c r="AF70" s="67">
        <v>0.451270369721395</v>
      </c>
      <c r="AG70" s="23">
        <f t="shared" si="0"/>
        <v>66</v>
      </c>
      <c r="AH70" s="64" t="s">
        <v>1136</v>
      </c>
      <c r="AI70" s="65">
        <v>0.19762731481481483</v>
      </c>
      <c r="AJ70" s="66">
        <v>51</v>
      </c>
      <c r="AK70" s="67">
        <v>0.54373153085832704</v>
      </c>
    </row>
    <row r="71" spans="25:37" x14ac:dyDescent="0.3">
      <c r="Y71" s="64" t="s">
        <v>1107</v>
      </c>
      <c r="AA71" s="64" t="s">
        <v>1110</v>
      </c>
      <c r="AB71" s="66">
        <v>33</v>
      </c>
      <c r="AC71" s="65">
        <v>0.20910879629629631</v>
      </c>
      <c r="AD71" s="65">
        <v>2.0532407407407409E-2</v>
      </c>
      <c r="AE71" s="68">
        <v>0.13449074074074074</v>
      </c>
      <c r="AF71" s="67">
        <v>0.61244257486024201</v>
      </c>
      <c r="AG71" s="23">
        <f t="shared" si="0"/>
        <v>67</v>
      </c>
      <c r="AH71" s="64" t="s">
        <v>1114</v>
      </c>
      <c r="AI71" s="65">
        <v>0.19739583333333333</v>
      </c>
      <c r="AJ71" s="66">
        <v>29</v>
      </c>
      <c r="AK71" s="67">
        <v>0.53445058742225304</v>
      </c>
    </row>
    <row r="72" spans="25:37" x14ac:dyDescent="0.3">
      <c r="Y72" s="64" t="s">
        <v>1108</v>
      </c>
      <c r="AA72" s="64" t="s">
        <v>1111</v>
      </c>
      <c r="AB72" s="66">
        <v>32</v>
      </c>
      <c r="AC72" s="65">
        <v>0.34836805555555556</v>
      </c>
      <c r="AD72" s="65">
        <v>5.1423611111111114E-2</v>
      </c>
      <c r="AE72" s="68">
        <v>0.19697916666666668</v>
      </c>
      <c r="AF72" s="67">
        <v>0.51755872288115901</v>
      </c>
      <c r="AG72" s="23">
        <f t="shared" si="0"/>
        <v>68</v>
      </c>
      <c r="AH72" s="64" t="s">
        <v>1025</v>
      </c>
      <c r="AI72" s="65">
        <v>0.19699074074074074</v>
      </c>
      <c r="AJ72" s="66">
        <v>85</v>
      </c>
      <c r="AK72" s="67">
        <v>0.50026955994339195</v>
      </c>
    </row>
    <row r="73" spans="25:37" x14ac:dyDescent="0.3">
      <c r="Y73" s="64" t="s">
        <v>1109</v>
      </c>
      <c r="AA73" s="64" t="s">
        <v>1112</v>
      </c>
      <c r="AB73" s="66">
        <v>31</v>
      </c>
      <c r="AC73" s="65">
        <v>0.34686342592592595</v>
      </c>
      <c r="AD73" s="65">
        <v>4.7534722222222221E-2</v>
      </c>
      <c r="AE73" s="68">
        <v>0.20438657407407407</v>
      </c>
      <c r="AF73" s="67">
        <v>0.55550735760285597</v>
      </c>
      <c r="AG73" s="23">
        <f t="shared" si="0"/>
        <v>69</v>
      </c>
      <c r="AH73" s="64" t="s">
        <v>1111</v>
      </c>
      <c r="AI73" s="65">
        <v>0.19697916666666668</v>
      </c>
      <c r="AJ73" s="66">
        <v>32</v>
      </c>
      <c r="AK73" s="67">
        <v>0.51755872288115901</v>
      </c>
    </row>
    <row r="74" spans="25:37" x14ac:dyDescent="0.3">
      <c r="Y74" s="64" t="s">
        <v>1110</v>
      </c>
      <c r="AA74" s="64" t="s">
        <v>1113</v>
      </c>
      <c r="AB74" s="66">
        <v>30</v>
      </c>
      <c r="AC74" s="65">
        <v>0.34806712962962966</v>
      </c>
      <c r="AD74" s="65">
        <v>9.3958333333333338E-2</v>
      </c>
      <c r="AE74" s="68">
        <v>0.19177083333333333</v>
      </c>
      <c r="AF74" s="67">
        <v>0.45535862734013899</v>
      </c>
      <c r="AG74" s="23">
        <f t="shared" si="0"/>
        <v>70</v>
      </c>
      <c r="AH74" s="64" t="s">
        <v>1096</v>
      </c>
      <c r="AI74" s="65">
        <v>0.19598379629629631</v>
      </c>
      <c r="AJ74" s="66">
        <v>49</v>
      </c>
      <c r="AK74" s="67">
        <v>0.55217497131332804</v>
      </c>
    </row>
    <row r="75" spans="25:37" x14ac:dyDescent="0.3">
      <c r="Y75" s="64" t="s">
        <v>1111</v>
      </c>
      <c r="AA75" s="64" t="s">
        <v>1114</v>
      </c>
      <c r="AB75" s="66">
        <v>29</v>
      </c>
      <c r="AC75" s="65">
        <v>0.3349537037037037</v>
      </c>
      <c r="AD75" s="65">
        <v>4.8645833333333333E-2</v>
      </c>
      <c r="AE75" s="68">
        <v>0.19739583333333333</v>
      </c>
      <c r="AF75" s="67">
        <v>0.53445058742225304</v>
      </c>
      <c r="AG75" s="23">
        <f t="shared" si="0"/>
        <v>71</v>
      </c>
      <c r="AH75" s="64" t="s">
        <v>1026</v>
      </c>
      <c r="AI75" s="65">
        <v>0.19475694444444444</v>
      </c>
      <c r="AJ75" s="66">
        <v>65</v>
      </c>
      <c r="AK75" s="67">
        <v>0.51396318166029897</v>
      </c>
    </row>
    <row r="76" spans="25:37" x14ac:dyDescent="0.3">
      <c r="Y76" s="64" t="s">
        <v>1112</v>
      </c>
      <c r="AA76" s="64" t="s">
        <v>1115</v>
      </c>
      <c r="AB76" s="66">
        <v>28</v>
      </c>
      <c r="AC76" s="65">
        <v>0.34497685185185184</v>
      </c>
      <c r="AD76" s="65">
        <v>6.7650462962962968E-2</v>
      </c>
      <c r="AE76" s="68">
        <v>0.20746527777777779</v>
      </c>
      <c r="AF76" s="67">
        <v>0.55914916459773201</v>
      </c>
      <c r="AG76" s="23">
        <f t="shared" ref="AG76:AG139" si="1">100 - AB76</f>
        <v>72</v>
      </c>
      <c r="AH76" s="64" t="s">
        <v>1098</v>
      </c>
      <c r="AI76" s="65">
        <v>0.19381944444444443</v>
      </c>
      <c r="AJ76" s="66">
        <v>47</v>
      </c>
      <c r="AK76" s="67">
        <v>0.55534863732407003</v>
      </c>
    </row>
    <row r="77" spans="25:37" x14ac:dyDescent="0.3">
      <c r="Y77" s="64" t="s">
        <v>1113</v>
      </c>
      <c r="AA77" s="64" t="s">
        <v>1116</v>
      </c>
      <c r="AB77" s="66">
        <v>29</v>
      </c>
      <c r="AC77" s="65">
        <v>0.33376157407407409</v>
      </c>
      <c r="AD77" s="65">
        <v>4.853009259259259E-2</v>
      </c>
      <c r="AE77" s="68">
        <v>0.19787037037037036</v>
      </c>
      <c r="AF77" s="67">
        <v>0.56847106148351101</v>
      </c>
      <c r="AG77" s="23">
        <f t="shared" si="1"/>
        <v>71</v>
      </c>
      <c r="AH77" s="64" t="s">
        <v>1143</v>
      </c>
      <c r="AI77" s="65">
        <v>0.19371527777777778</v>
      </c>
      <c r="AJ77" s="66">
        <v>58</v>
      </c>
      <c r="AK77" s="67">
        <v>0.53294365856189296</v>
      </c>
    </row>
    <row r="78" spans="25:37" x14ac:dyDescent="0.3">
      <c r="Y78" s="64" t="s">
        <v>1114</v>
      </c>
      <c r="AA78" s="64" t="s">
        <v>1117</v>
      </c>
      <c r="AB78" s="66">
        <v>30</v>
      </c>
      <c r="AC78" s="65">
        <v>0.33037037037037037</v>
      </c>
      <c r="AD78" s="65">
        <v>6.6701388888888893E-2</v>
      </c>
      <c r="AE78" s="68">
        <v>0.18496527777777777</v>
      </c>
      <c r="AF78" s="67">
        <v>0.47509108744394601</v>
      </c>
      <c r="AG78" s="23">
        <f t="shared" si="1"/>
        <v>70</v>
      </c>
      <c r="AH78" s="64" t="s">
        <v>1064</v>
      </c>
      <c r="AI78" s="65">
        <v>0.19362268518518519</v>
      </c>
      <c r="AJ78" s="66">
        <v>107</v>
      </c>
      <c r="AK78" s="67">
        <v>0.49813523593319298</v>
      </c>
    </row>
    <row r="79" spans="25:37" x14ac:dyDescent="0.3">
      <c r="Y79" s="64" t="s">
        <v>1115</v>
      </c>
      <c r="AA79" s="64" t="s">
        <v>1118</v>
      </c>
      <c r="AB79" s="66">
        <v>31</v>
      </c>
      <c r="AC79" s="65">
        <v>0.34008101851851852</v>
      </c>
      <c r="AD79" s="65">
        <v>9.1597222222222219E-2</v>
      </c>
      <c r="AE79" s="68">
        <v>0.16811342592592593</v>
      </c>
      <c r="AF79" s="67">
        <v>0.47578531804104401</v>
      </c>
      <c r="AG79" s="23">
        <f t="shared" si="1"/>
        <v>69</v>
      </c>
      <c r="AH79" s="64" t="s">
        <v>1154</v>
      </c>
      <c r="AI79" s="65">
        <v>0.19284722222222223</v>
      </c>
      <c r="AJ79" s="66">
        <v>69</v>
      </c>
      <c r="AK79" s="67">
        <v>0.48780077967468699</v>
      </c>
    </row>
    <row r="80" spans="25:37" x14ac:dyDescent="0.3">
      <c r="Y80" s="64" t="s">
        <v>1116</v>
      </c>
      <c r="AA80" s="64" t="s">
        <v>1119</v>
      </c>
      <c r="AB80" s="66">
        <v>32</v>
      </c>
      <c r="AC80" s="65">
        <v>0.33415509259259257</v>
      </c>
      <c r="AD80" s="65">
        <v>0.10168981481481482</v>
      </c>
      <c r="AE80" s="68">
        <v>0.16863425925925926</v>
      </c>
      <c r="AF80" s="67">
        <v>0.46898271622042897</v>
      </c>
      <c r="AG80" s="23">
        <f t="shared" si="1"/>
        <v>68</v>
      </c>
      <c r="AH80" s="64" t="s">
        <v>1177</v>
      </c>
      <c r="AI80" s="65">
        <v>0.19224537037037037</v>
      </c>
      <c r="AJ80" s="66">
        <v>97</v>
      </c>
      <c r="AK80" s="67">
        <v>0.497486459313074</v>
      </c>
    </row>
    <row r="81" spans="25:37" x14ac:dyDescent="0.3">
      <c r="Y81" s="64" t="s">
        <v>1117</v>
      </c>
      <c r="AA81" s="64" t="s">
        <v>1120</v>
      </c>
      <c r="AB81" s="66">
        <v>33</v>
      </c>
      <c r="AC81" s="65">
        <v>0.34437499999999999</v>
      </c>
      <c r="AD81" s="65">
        <v>8.0162037037037032E-2</v>
      </c>
      <c r="AE81" s="68">
        <v>0.18534722222222222</v>
      </c>
      <c r="AF81" s="67">
        <v>0.51361161524500898</v>
      </c>
      <c r="AG81" s="23">
        <f t="shared" si="1"/>
        <v>67</v>
      </c>
      <c r="AH81" s="64" t="s">
        <v>1113</v>
      </c>
      <c r="AI81" s="65">
        <v>0.19177083333333333</v>
      </c>
      <c r="AJ81" s="66">
        <v>30</v>
      </c>
      <c r="AK81" s="67">
        <v>0.45535862734013899</v>
      </c>
    </row>
    <row r="82" spans="25:37" x14ac:dyDescent="0.3">
      <c r="Y82" s="64" t="s">
        <v>1118</v>
      </c>
      <c r="AA82" s="64" t="s">
        <v>1121</v>
      </c>
      <c r="AB82" s="66">
        <v>34</v>
      </c>
      <c r="AC82" s="65">
        <v>0.3558101851851852</v>
      </c>
      <c r="AD82" s="65">
        <v>6.8541666666666667E-2</v>
      </c>
      <c r="AE82" s="68">
        <v>0.21642361111111111</v>
      </c>
      <c r="AF82" s="67">
        <v>0.525112224318522</v>
      </c>
      <c r="AG82" s="23">
        <f t="shared" si="1"/>
        <v>66</v>
      </c>
      <c r="AH82" s="64" t="s">
        <v>1173</v>
      </c>
      <c r="AI82" s="65">
        <v>0.19138888888888889</v>
      </c>
      <c r="AJ82" s="66">
        <v>91</v>
      </c>
      <c r="AK82" s="67">
        <v>0.55729058227496697</v>
      </c>
    </row>
    <row r="83" spans="25:37" x14ac:dyDescent="0.3">
      <c r="Y83" s="64" t="s">
        <v>1119</v>
      </c>
      <c r="AA83" s="64" t="s">
        <v>1122</v>
      </c>
      <c r="AB83" s="66">
        <v>35</v>
      </c>
      <c r="AC83" s="65">
        <v>0.34848379629629628</v>
      </c>
      <c r="AD83" s="65">
        <v>0.17460648148148147</v>
      </c>
      <c r="AE83" s="68">
        <v>0.12767361111111111</v>
      </c>
      <c r="AF83" s="67">
        <v>0.348600086352918</v>
      </c>
      <c r="AG83" s="23">
        <f t="shared" si="1"/>
        <v>65</v>
      </c>
      <c r="AH83" s="64" t="s">
        <v>1077</v>
      </c>
      <c r="AI83" s="65">
        <v>0.1912962962962963</v>
      </c>
      <c r="AJ83" s="66">
        <v>68</v>
      </c>
      <c r="AK83" s="67">
        <v>0.52954105200417201</v>
      </c>
    </row>
    <row r="84" spans="25:37" x14ac:dyDescent="0.3">
      <c r="Y84" s="64" t="s">
        <v>1120</v>
      </c>
      <c r="AA84" s="64" t="s">
        <v>1123</v>
      </c>
      <c r="AB84" s="66">
        <v>36</v>
      </c>
      <c r="AC84" s="65">
        <v>0.35092592592592592</v>
      </c>
      <c r="AD84" s="65">
        <v>0.18131944444444445</v>
      </c>
      <c r="AE84" s="68">
        <v>0.12086805555555556</v>
      </c>
      <c r="AF84" s="67">
        <v>0.314709762532982</v>
      </c>
      <c r="AG84" s="23">
        <f t="shared" si="1"/>
        <v>64</v>
      </c>
      <c r="AH84" s="64" t="s">
        <v>1003</v>
      </c>
      <c r="AI84" s="65">
        <v>0.19024016203703703</v>
      </c>
      <c r="AJ84" s="66">
        <v>322</v>
      </c>
      <c r="AK84" s="67">
        <v>0.52264871602840346</v>
      </c>
    </row>
    <row r="85" spans="25:37" x14ac:dyDescent="0.3">
      <c r="Y85" s="64" t="s">
        <v>1121</v>
      </c>
      <c r="AA85" s="64" t="s">
        <v>1124</v>
      </c>
      <c r="AB85" s="66">
        <v>37</v>
      </c>
      <c r="AC85" s="65">
        <v>0.33891203703703704</v>
      </c>
      <c r="AD85" s="65">
        <v>4.8900462962962965E-2</v>
      </c>
      <c r="AE85" s="68">
        <v>0.21581018518518519</v>
      </c>
      <c r="AF85" s="67">
        <v>0.55600710333993597</v>
      </c>
      <c r="AG85" s="23">
        <f t="shared" si="1"/>
        <v>63</v>
      </c>
      <c r="AH85" s="64" t="s">
        <v>1158</v>
      </c>
      <c r="AI85" s="65">
        <v>0.18991898148148148</v>
      </c>
      <c r="AJ85" s="66">
        <v>76</v>
      </c>
      <c r="AK85" s="67">
        <v>0.53238796723342696</v>
      </c>
    </row>
    <row r="86" spans="25:37" x14ac:dyDescent="0.3">
      <c r="Y86" s="64" t="s">
        <v>1122</v>
      </c>
      <c r="AA86" s="64" t="s">
        <v>1125</v>
      </c>
      <c r="AB86" s="66">
        <v>38</v>
      </c>
      <c r="AC86" s="65">
        <v>0.34675925925925927</v>
      </c>
      <c r="AD86" s="65">
        <v>0.10935185185185185</v>
      </c>
      <c r="AE86" s="68">
        <v>0.17275462962962962</v>
      </c>
      <c r="AF86" s="67">
        <v>0.46221628838451301</v>
      </c>
      <c r="AG86" s="23">
        <f t="shared" si="1"/>
        <v>62</v>
      </c>
      <c r="AH86" s="64" t="s">
        <v>1082</v>
      </c>
      <c r="AI86" s="65">
        <v>0.18953703703703703</v>
      </c>
      <c r="AJ86" s="66">
        <v>63</v>
      </c>
      <c r="AK86" s="67">
        <v>0.55728373576970502</v>
      </c>
    </row>
    <row r="87" spans="25:37" x14ac:dyDescent="0.3">
      <c r="Y87" s="64" t="s">
        <v>1123</v>
      </c>
      <c r="AA87" s="64" t="s">
        <v>1126</v>
      </c>
      <c r="AB87" s="66">
        <v>39</v>
      </c>
      <c r="AC87" s="65">
        <v>0.3511111111111111</v>
      </c>
      <c r="AD87" s="65">
        <v>0.13890046296296296</v>
      </c>
      <c r="AE87" s="68">
        <v>0.15339120370370371</v>
      </c>
      <c r="AF87" s="67">
        <v>0.39075685654008402</v>
      </c>
      <c r="AG87" s="23">
        <f t="shared" si="1"/>
        <v>61</v>
      </c>
      <c r="AH87" s="64" t="s">
        <v>1174</v>
      </c>
      <c r="AI87" s="65">
        <v>0.18885416666666666</v>
      </c>
      <c r="AJ87" s="66">
        <v>94</v>
      </c>
      <c r="AK87" s="67">
        <v>0.51110729613733896</v>
      </c>
    </row>
    <row r="88" spans="25:37" x14ac:dyDescent="0.3">
      <c r="Y88" s="64" t="s">
        <v>1124</v>
      </c>
      <c r="AA88" s="64" t="s">
        <v>1127</v>
      </c>
      <c r="AB88" s="66">
        <v>40</v>
      </c>
      <c r="AC88" s="65">
        <v>0.3447453703703704</v>
      </c>
      <c r="AD88" s="65">
        <v>4.7592592592592596E-2</v>
      </c>
      <c r="AE88" s="68">
        <v>0.21947916666666667</v>
      </c>
      <c r="AF88" s="67">
        <v>0.54713623850130899</v>
      </c>
      <c r="AG88" s="23">
        <f t="shared" si="1"/>
        <v>60</v>
      </c>
      <c r="AH88" s="64" t="s">
        <v>1159</v>
      </c>
      <c r="AI88" s="65">
        <v>0.18868055555555555</v>
      </c>
      <c r="AJ88" s="66">
        <v>77</v>
      </c>
      <c r="AK88" s="67">
        <v>0.47020989660776702</v>
      </c>
    </row>
    <row r="89" spans="25:37" x14ac:dyDescent="0.3">
      <c r="Y89" s="64" t="s">
        <v>1125</v>
      </c>
      <c r="AA89" s="64" t="s">
        <v>1128</v>
      </c>
      <c r="AB89" s="66">
        <v>41</v>
      </c>
      <c r="AC89" s="65">
        <v>0.3167476851851852</v>
      </c>
      <c r="AD89" s="65">
        <v>2.1064814814814814E-2</v>
      </c>
      <c r="AE89" s="68">
        <v>0.21346064814814814</v>
      </c>
      <c r="AF89" s="67">
        <v>0.61457229509993805</v>
      </c>
      <c r="AG89" s="23">
        <f t="shared" si="1"/>
        <v>59</v>
      </c>
      <c r="AH89" s="64" t="s">
        <v>1065</v>
      </c>
      <c r="AI89" s="65">
        <v>0.18708912037037037</v>
      </c>
      <c r="AJ89" s="66">
        <v>83</v>
      </c>
      <c r="AK89" s="67">
        <v>0.5321490047666575</v>
      </c>
    </row>
    <row r="90" spans="25:37" x14ac:dyDescent="0.3">
      <c r="Y90" s="64" t="s">
        <v>1126</v>
      </c>
      <c r="AA90" s="64" t="s">
        <v>1129</v>
      </c>
      <c r="AB90" s="66">
        <v>42</v>
      </c>
      <c r="AC90" s="65">
        <v>0.34024305555555556</v>
      </c>
      <c r="AD90" s="65">
        <v>4.7731481481481479E-2</v>
      </c>
      <c r="AE90" s="68">
        <v>0.21100694444444446</v>
      </c>
      <c r="AF90" s="67">
        <v>0.55335578460387103</v>
      </c>
      <c r="AG90" s="23">
        <f t="shared" si="1"/>
        <v>58</v>
      </c>
      <c r="AH90" s="64" t="s">
        <v>1131</v>
      </c>
      <c r="AI90" s="65">
        <v>0.18670138888888888</v>
      </c>
      <c r="AJ90" s="66">
        <v>44</v>
      </c>
      <c r="AK90" s="67">
        <v>0.51217732689434703</v>
      </c>
    </row>
    <row r="91" spans="25:37" x14ac:dyDescent="0.3">
      <c r="Y91" s="64" t="s">
        <v>1127</v>
      </c>
      <c r="AA91" s="64" t="s">
        <v>1130</v>
      </c>
      <c r="AB91" s="66">
        <v>43</v>
      </c>
      <c r="AC91" s="65">
        <v>0.33611111111111114</v>
      </c>
      <c r="AD91" s="65">
        <v>4.7500000000000001E-2</v>
      </c>
      <c r="AE91" s="68">
        <v>0.21214120370370371</v>
      </c>
      <c r="AF91" s="67">
        <v>0.611363636363636</v>
      </c>
      <c r="AG91" s="23">
        <f t="shared" si="1"/>
        <v>57</v>
      </c>
      <c r="AH91" s="64" t="s">
        <v>1120</v>
      </c>
      <c r="AI91" s="65">
        <v>0.18534722222222222</v>
      </c>
      <c r="AJ91" s="66">
        <v>33</v>
      </c>
      <c r="AK91" s="67">
        <v>0.51361161524500898</v>
      </c>
    </row>
    <row r="92" spans="25:37" x14ac:dyDescent="0.3">
      <c r="Y92" s="64" t="s">
        <v>1128</v>
      </c>
      <c r="AA92" s="64" t="s">
        <v>1131</v>
      </c>
      <c r="AB92" s="66">
        <v>44</v>
      </c>
      <c r="AC92" s="65">
        <v>0.3331365740740741</v>
      </c>
      <c r="AD92" s="65">
        <v>6.7430555555555549E-2</v>
      </c>
      <c r="AE92" s="68">
        <v>0.18670138888888888</v>
      </c>
      <c r="AF92" s="67">
        <v>0.51217732689434703</v>
      </c>
      <c r="AG92" s="23">
        <f t="shared" si="1"/>
        <v>56</v>
      </c>
      <c r="AH92" s="64" t="s">
        <v>1117</v>
      </c>
      <c r="AI92" s="65">
        <v>0.18496527777777777</v>
      </c>
      <c r="AJ92" s="66">
        <v>30</v>
      </c>
      <c r="AK92" s="67">
        <v>0.47509108744394601</v>
      </c>
    </row>
    <row r="93" spans="25:37" x14ac:dyDescent="0.3">
      <c r="Y93" s="64" t="s">
        <v>1129</v>
      </c>
      <c r="AA93" s="64" t="s">
        <v>1132</v>
      </c>
      <c r="AB93" s="66">
        <v>45</v>
      </c>
      <c r="AC93" s="65">
        <v>0.35135416666666669</v>
      </c>
      <c r="AD93" s="65">
        <v>5.4953703703703706E-2</v>
      </c>
      <c r="AE93" s="68">
        <v>0.20708333333333334</v>
      </c>
      <c r="AF93" s="67">
        <v>0.56029910728991705</v>
      </c>
      <c r="AG93" s="23">
        <f t="shared" si="1"/>
        <v>55</v>
      </c>
      <c r="AH93" s="64" t="s">
        <v>1102</v>
      </c>
      <c r="AI93" s="65">
        <v>0.18484953703703705</v>
      </c>
      <c r="AJ93" s="66">
        <v>43</v>
      </c>
      <c r="AK93" s="67">
        <v>0.52849609939323905</v>
      </c>
    </row>
    <row r="94" spans="25:37" x14ac:dyDescent="0.3">
      <c r="Y94" s="64" t="s">
        <v>1130</v>
      </c>
      <c r="AA94" s="64" t="s">
        <v>1133</v>
      </c>
      <c r="AB94" s="66">
        <v>46</v>
      </c>
      <c r="AC94" s="65">
        <v>0.34356481481481482</v>
      </c>
      <c r="AD94" s="65">
        <v>0.10712962962962963</v>
      </c>
      <c r="AE94" s="68">
        <v>0.16344907407407408</v>
      </c>
      <c r="AF94" s="67">
        <v>0.42891793558819602</v>
      </c>
      <c r="AG94" s="23">
        <f t="shared" si="1"/>
        <v>54</v>
      </c>
      <c r="AH94" s="64" t="s">
        <v>1146</v>
      </c>
      <c r="AI94" s="65">
        <v>0.18436342592592592</v>
      </c>
      <c r="AJ94" s="66">
        <v>61</v>
      </c>
      <c r="AK94" s="67">
        <v>0.52390558805729304</v>
      </c>
    </row>
    <row r="95" spans="25:37" x14ac:dyDescent="0.3">
      <c r="Y95" s="64" t="s">
        <v>1131</v>
      </c>
      <c r="AA95" s="64" t="s">
        <v>1134</v>
      </c>
      <c r="AB95" s="66">
        <v>47</v>
      </c>
      <c r="AC95" s="65">
        <v>0.34900462962962964</v>
      </c>
      <c r="AD95" s="65">
        <v>0.29744212962962963</v>
      </c>
      <c r="AE95" s="68">
        <v>3.3715277777777775E-2</v>
      </c>
      <c r="AF95" s="67">
        <v>9.4547987000066294E-2</v>
      </c>
      <c r="AG95" s="23">
        <f t="shared" si="1"/>
        <v>53</v>
      </c>
      <c r="AH95" s="64" t="s">
        <v>1145</v>
      </c>
      <c r="AI95" s="65">
        <v>0.18254629629629629</v>
      </c>
      <c r="AJ95" s="66">
        <v>60</v>
      </c>
      <c r="AK95" s="67">
        <v>0.50483838451717</v>
      </c>
    </row>
    <row r="96" spans="25:37" x14ac:dyDescent="0.3">
      <c r="Y96" s="64" t="s">
        <v>1132</v>
      </c>
      <c r="AA96" s="64" t="s">
        <v>1066</v>
      </c>
      <c r="AB96" s="66">
        <v>97</v>
      </c>
      <c r="AC96" s="65">
        <v>0.67937500000000006</v>
      </c>
      <c r="AD96" s="65">
        <v>0.13795138888888889</v>
      </c>
      <c r="AE96" s="68">
        <v>0.41770833333333335</v>
      </c>
      <c r="AF96" s="67">
        <v>1.122824596941316</v>
      </c>
      <c r="AG96" s="23">
        <f t="shared" si="1"/>
        <v>3</v>
      </c>
      <c r="AH96" s="64" t="s">
        <v>1018</v>
      </c>
      <c r="AI96" s="65">
        <v>0.17884259259259258</v>
      </c>
      <c r="AJ96" s="66">
        <v>29</v>
      </c>
      <c r="AK96" s="67">
        <v>0.47720778337188702</v>
      </c>
    </row>
    <row r="97" spans="25:37" x14ac:dyDescent="0.3">
      <c r="Y97" s="64" t="s">
        <v>1133</v>
      </c>
      <c r="AA97" s="64" t="s">
        <v>1135</v>
      </c>
      <c r="AB97" s="66">
        <v>50</v>
      </c>
      <c r="AC97" s="65">
        <v>0.2114699074074074</v>
      </c>
      <c r="AD97" s="65">
        <v>1.6979166666666667E-2</v>
      </c>
      <c r="AE97" s="68">
        <v>0.14190972222222223</v>
      </c>
      <c r="AF97" s="67">
        <v>0.62426796562859199</v>
      </c>
      <c r="AG97" s="23">
        <f t="shared" si="1"/>
        <v>50</v>
      </c>
      <c r="AH97" s="64" t="s">
        <v>1141</v>
      </c>
      <c r="AI97" s="65">
        <v>0.1784375</v>
      </c>
      <c r="AJ97" s="66">
        <v>56</v>
      </c>
      <c r="AK97" s="67">
        <v>0.47077424938419499</v>
      </c>
    </row>
    <row r="98" spans="25:37" x14ac:dyDescent="0.3">
      <c r="Y98" s="64" t="s">
        <v>1134</v>
      </c>
      <c r="AA98" s="64" t="s">
        <v>1136</v>
      </c>
      <c r="AB98" s="66">
        <v>51</v>
      </c>
      <c r="AC98" s="65">
        <v>0.34075231481481483</v>
      </c>
      <c r="AD98" s="65">
        <v>4.8240740740740744E-2</v>
      </c>
      <c r="AE98" s="68">
        <v>0.19762731481481483</v>
      </c>
      <c r="AF98" s="67">
        <v>0.54373153085832704</v>
      </c>
      <c r="AG98" s="23">
        <f t="shared" si="1"/>
        <v>49</v>
      </c>
      <c r="AH98" s="64" t="s">
        <v>1107</v>
      </c>
      <c r="AI98" s="65">
        <v>0.17645833333333333</v>
      </c>
      <c r="AJ98" s="66">
        <v>36</v>
      </c>
      <c r="AK98" s="67">
        <v>0.47561801557737898</v>
      </c>
    </row>
    <row r="99" spans="25:37" x14ac:dyDescent="0.3">
      <c r="Y99" s="64" t="s">
        <v>1066</v>
      </c>
      <c r="AA99" s="64" t="s">
        <v>1137</v>
      </c>
      <c r="AB99" s="66">
        <v>52</v>
      </c>
      <c r="AC99" s="65">
        <v>0.34390046296296295</v>
      </c>
      <c r="AD99" s="65">
        <v>0.34385416666666668</v>
      </c>
      <c r="AE99" s="68">
        <v>0</v>
      </c>
      <c r="AF99" s="67">
        <v>0</v>
      </c>
      <c r="AG99" s="23">
        <f t="shared" si="1"/>
        <v>48</v>
      </c>
      <c r="AH99" s="64" t="s">
        <v>1071</v>
      </c>
      <c r="AI99" s="65">
        <v>0.17644675925925926</v>
      </c>
      <c r="AJ99" s="66">
        <v>74</v>
      </c>
      <c r="AK99" s="67">
        <v>0.478030199972793</v>
      </c>
    </row>
    <row r="100" spans="25:37" x14ac:dyDescent="0.3">
      <c r="Y100" s="64" t="s">
        <v>1135</v>
      </c>
      <c r="AA100" s="64" t="s">
        <v>1138</v>
      </c>
      <c r="AB100" s="66">
        <v>53</v>
      </c>
      <c r="AC100" s="65">
        <v>0.33532407407407405</v>
      </c>
      <c r="AD100" s="65">
        <v>0.27759259259259261</v>
      </c>
      <c r="AE100" s="68">
        <v>5.0763888888888886E-2</v>
      </c>
      <c r="AF100" s="67">
        <v>0.14431174927516199</v>
      </c>
      <c r="AG100" s="23">
        <f t="shared" si="1"/>
        <v>47</v>
      </c>
      <c r="AH100" s="64" t="s">
        <v>1093</v>
      </c>
      <c r="AI100" s="65">
        <v>0.17586805555555557</v>
      </c>
      <c r="AJ100" s="66">
        <v>52</v>
      </c>
      <c r="AK100" s="67">
        <v>0.50443090556632497</v>
      </c>
    </row>
    <row r="101" spans="25:37" x14ac:dyDescent="0.3">
      <c r="Y101" s="64" t="s">
        <v>1136</v>
      </c>
      <c r="AA101" s="64" t="s">
        <v>1139</v>
      </c>
      <c r="AB101" s="66">
        <v>54</v>
      </c>
      <c r="AC101" s="65">
        <v>0.34682870370370372</v>
      </c>
      <c r="AD101" s="65">
        <v>5.122685185185185E-2</v>
      </c>
      <c r="AE101" s="68">
        <v>0.20351851851851852</v>
      </c>
      <c r="AF101" s="67">
        <v>0.55259293866381898</v>
      </c>
      <c r="AG101" s="23">
        <f t="shared" si="1"/>
        <v>46</v>
      </c>
      <c r="AH101" s="64" t="s">
        <v>1020</v>
      </c>
      <c r="AI101" s="65">
        <v>0.17553240740740741</v>
      </c>
      <c r="AJ101" s="66">
        <v>26</v>
      </c>
      <c r="AK101" s="67">
        <v>0.49476474931203401</v>
      </c>
    </row>
    <row r="102" spans="25:37" x14ac:dyDescent="0.3">
      <c r="Y102" s="64" t="s">
        <v>1137</v>
      </c>
      <c r="AA102" s="64" t="s">
        <v>1140</v>
      </c>
      <c r="AB102" s="66">
        <v>55</v>
      </c>
      <c r="AC102" s="65">
        <v>0.33483796296296298</v>
      </c>
      <c r="AD102" s="65">
        <v>0.23973379629629629</v>
      </c>
      <c r="AE102" s="68">
        <v>6.6759259259259254E-2</v>
      </c>
      <c r="AF102" s="67">
        <v>0.18938817836156199</v>
      </c>
      <c r="AG102" s="23">
        <f t="shared" si="1"/>
        <v>45</v>
      </c>
      <c r="AH102" s="64" t="s">
        <v>1167</v>
      </c>
      <c r="AI102" s="65">
        <v>0.17545138888888889</v>
      </c>
      <c r="AJ102" s="66">
        <v>85</v>
      </c>
      <c r="AK102" s="67">
        <v>0.43796610169491501</v>
      </c>
    </row>
    <row r="103" spans="25:37" x14ac:dyDescent="0.3">
      <c r="Y103" s="64" t="s">
        <v>1138</v>
      </c>
      <c r="AA103" s="64" t="s">
        <v>1141</v>
      </c>
      <c r="AB103" s="66">
        <v>56</v>
      </c>
      <c r="AC103" s="65">
        <v>0.34770833333333334</v>
      </c>
      <c r="AD103" s="65">
        <v>8.6782407407407405E-2</v>
      </c>
      <c r="AE103" s="68">
        <v>0.1784375</v>
      </c>
      <c r="AF103" s="67">
        <v>0.47077424938419499</v>
      </c>
      <c r="AG103" s="23">
        <f t="shared" si="1"/>
        <v>44</v>
      </c>
      <c r="AH103" s="64" t="s">
        <v>1076</v>
      </c>
      <c r="AI103" s="65">
        <v>0.17480324074074075</v>
      </c>
      <c r="AJ103" s="66">
        <v>69</v>
      </c>
      <c r="AK103" s="67">
        <v>0.43603379219817601</v>
      </c>
    </row>
    <row r="104" spans="25:37" x14ac:dyDescent="0.3">
      <c r="Y104" s="64" t="s">
        <v>1139</v>
      </c>
      <c r="AA104" s="64" t="s">
        <v>1142</v>
      </c>
      <c r="AB104" s="66">
        <v>57</v>
      </c>
      <c r="AC104" s="65">
        <v>0.33384259259259258</v>
      </c>
      <c r="AD104" s="65">
        <v>4.9467592592592591E-2</v>
      </c>
      <c r="AE104" s="68">
        <v>0.19934027777777777</v>
      </c>
      <c r="AF104" s="67">
        <v>0.53862155040909698</v>
      </c>
      <c r="AG104" s="23">
        <f t="shared" si="1"/>
        <v>43</v>
      </c>
      <c r="AH104" s="64" t="s">
        <v>1171</v>
      </c>
      <c r="AI104" s="65">
        <v>0.1744212962962963</v>
      </c>
      <c r="AJ104" s="66">
        <v>89</v>
      </c>
      <c r="AK104" s="67">
        <v>0.45359037481363301</v>
      </c>
    </row>
    <row r="105" spans="25:37" x14ac:dyDescent="0.3">
      <c r="Y105" s="64" t="s">
        <v>1140</v>
      </c>
      <c r="AA105" s="64" t="s">
        <v>1143</v>
      </c>
      <c r="AB105" s="66">
        <v>58</v>
      </c>
      <c r="AC105" s="65">
        <v>0.3346412037037037</v>
      </c>
      <c r="AD105" s="65">
        <v>4.8240740740740744E-2</v>
      </c>
      <c r="AE105" s="68">
        <v>0.19371527777777778</v>
      </c>
      <c r="AF105" s="67">
        <v>0.53294365856189296</v>
      </c>
      <c r="AG105" s="23">
        <f t="shared" si="1"/>
        <v>42</v>
      </c>
      <c r="AH105" s="64" t="s">
        <v>1070</v>
      </c>
      <c r="AI105" s="65">
        <v>0.17288194444444444</v>
      </c>
      <c r="AJ105" s="66">
        <v>75</v>
      </c>
      <c r="AK105" s="67">
        <v>0.46267686976609901</v>
      </c>
    </row>
    <row r="106" spans="25:37" x14ac:dyDescent="0.3">
      <c r="Y106" s="64" t="s">
        <v>1141</v>
      </c>
      <c r="AA106" s="64" t="s">
        <v>1144</v>
      </c>
      <c r="AB106" s="66">
        <v>59</v>
      </c>
      <c r="AC106" s="65">
        <v>0.24574074074074073</v>
      </c>
      <c r="AD106" s="65">
        <v>0.11229166666666666</v>
      </c>
      <c r="AE106" s="68">
        <v>0.12021990740740741</v>
      </c>
      <c r="AF106" s="67">
        <v>0.41310286360211002</v>
      </c>
      <c r="AG106" s="23">
        <f t="shared" si="1"/>
        <v>41</v>
      </c>
      <c r="AH106" s="64" t="s">
        <v>1125</v>
      </c>
      <c r="AI106" s="65">
        <v>0.17275462962962962</v>
      </c>
      <c r="AJ106" s="66">
        <v>38</v>
      </c>
      <c r="AK106" s="67">
        <v>0.46221628838451301</v>
      </c>
    </row>
    <row r="107" spans="25:37" x14ac:dyDescent="0.3">
      <c r="Y107" s="64" t="s">
        <v>1142</v>
      </c>
      <c r="AA107" s="64" t="s">
        <v>1145</v>
      </c>
      <c r="AB107" s="66">
        <v>60</v>
      </c>
      <c r="AC107" s="65">
        <v>0.34446759259259258</v>
      </c>
      <c r="AD107" s="65">
        <v>7.6817129629629624E-2</v>
      </c>
      <c r="AE107" s="68">
        <v>0.18254629629629629</v>
      </c>
      <c r="AF107" s="67">
        <v>0.50483838451717</v>
      </c>
      <c r="AG107" s="23">
        <f t="shared" si="1"/>
        <v>40</v>
      </c>
      <c r="AH107" s="64" t="s">
        <v>1150</v>
      </c>
      <c r="AI107" s="65">
        <v>0.17256944444444444</v>
      </c>
      <c r="AJ107" s="66">
        <v>65</v>
      </c>
      <c r="AK107" s="67">
        <v>0.477120667047709</v>
      </c>
    </row>
    <row r="108" spans="25:37" x14ac:dyDescent="0.3">
      <c r="Y108" s="64" t="s">
        <v>1143</v>
      </c>
      <c r="AA108" s="64" t="s">
        <v>1146</v>
      </c>
      <c r="AB108" s="66">
        <v>61</v>
      </c>
      <c r="AC108" s="65">
        <v>0.34423611111111113</v>
      </c>
      <c r="AD108" s="65">
        <v>6.7326388888888894E-2</v>
      </c>
      <c r="AE108" s="68">
        <v>0.18436342592592592</v>
      </c>
      <c r="AF108" s="67">
        <v>0.52390558805729304</v>
      </c>
      <c r="AG108" s="23">
        <f t="shared" si="1"/>
        <v>39</v>
      </c>
      <c r="AH108" s="64" t="s">
        <v>1105</v>
      </c>
      <c r="AI108" s="65">
        <v>0.17246527777777779</v>
      </c>
      <c r="AJ108" s="66">
        <v>38</v>
      </c>
      <c r="AK108" s="67">
        <v>0.47933717288067101</v>
      </c>
    </row>
    <row r="109" spans="25:37" x14ac:dyDescent="0.3">
      <c r="Y109" s="64" t="s">
        <v>1144</v>
      </c>
      <c r="AA109" s="64" t="s">
        <v>1147</v>
      </c>
      <c r="AB109" s="66">
        <v>62</v>
      </c>
      <c r="AC109" s="65">
        <v>0.34479166666666666</v>
      </c>
      <c r="AD109" s="65">
        <v>0.21383101851851852</v>
      </c>
      <c r="AE109" s="68">
        <v>0.10450231481481481</v>
      </c>
      <c r="AF109" s="67">
        <v>0.25444780127559602</v>
      </c>
      <c r="AG109" s="23">
        <f t="shared" si="1"/>
        <v>38</v>
      </c>
      <c r="AH109" s="64" t="s">
        <v>1083</v>
      </c>
      <c r="AI109" s="65">
        <v>0.17200231481481482</v>
      </c>
      <c r="AJ109" s="66">
        <v>62</v>
      </c>
      <c r="AK109" s="67">
        <v>0.47590463594126198</v>
      </c>
    </row>
    <row r="110" spans="25:37" x14ac:dyDescent="0.3">
      <c r="Y110" s="64" t="s">
        <v>1145</v>
      </c>
      <c r="AA110" s="64" t="s">
        <v>1148</v>
      </c>
      <c r="AB110" s="66">
        <v>63</v>
      </c>
      <c r="AC110" s="65">
        <v>0.33458333333333334</v>
      </c>
      <c r="AD110" s="65">
        <v>5.0925925925925923E-2</v>
      </c>
      <c r="AE110" s="68">
        <v>0.20292824074074073</v>
      </c>
      <c r="AF110" s="67">
        <v>0.55517503805174995</v>
      </c>
      <c r="AG110" s="23">
        <f t="shared" si="1"/>
        <v>37</v>
      </c>
      <c r="AH110" s="64" t="s">
        <v>1119</v>
      </c>
      <c r="AI110" s="65">
        <v>0.16863425925925926</v>
      </c>
      <c r="AJ110" s="66">
        <v>32</v>
      </c>
      <c r="AK110" s="67">
        <v>0.46898271622042897</v>
      </c>
    </row>
    <row r="111" spans="25:37" x14ac:dyDescent="0.3">
      <c r="Y111" s="64" t="s">
        <v>1146</v>
      </c>
      <c r="AA111" s="64" t="s">
        <v>1149</v>
      </c>
      <c r="AB111" s="66">
        <v>64</v>
      </c>
      <c r="AC111" s="65">
        <v>0.34524305555555557</v>
      </c>
      <c r="AD111" s="65">
        <v>0.34513888888888888</v>
      </c>
      <c r="AE111" s="68">
        <v>0</v>
      </c>
      <c r="AF111" s="67">
        <v>0</v>
      </c>
      <c r="AG111" s="23">
        <f t="shared" si="1"/>
        <v>36</v>
      </c>
      <c r="AH111" s="64" t="s">
        <v>1118</v>
      </c>
      <c r="AI111" s="65">
        <v>0.16811342592592593</v>
      </c>
      <c r="AJ111" s="66">
        <v>31</v>
      </c>
      <c r="AK111" s="67">
        <v>0.47578531804104401</v>
      </c>
    </row>
    <row r="112" spans="25:37" x14ac:dyDescent="0.3">
      <c r="Y112" s="64" t="s">
        <v>1147</v>
      </c>
      <c r="AA112" s="64" t="s">
        <v>1150</v>
      </c>
      <c r="AB112" s="66">
        <v>65</v>
      </c>
      <c r="AC112" s="65">
        <v>0.34424768518518517</v>
      </c>
      <c r="AD112" s="65">
        <v>9.0462962962962967E-2</v>
      </c>
      <c r="AE112" s="68">
        <v>0.17256944444444444</v>
      </c>
      <c r="AF112" s="67">
        <v>0.477120667047709</v>
      </c>
      <c r="AG112" s="23">
        <f t="shared" si="1"/>
        <v>35</v>
      </c>
      <c r="AH112" s="64" t="s">
        <v>1133</v>
      </c>
      <c r="AI112" s="65">
        <v>0.16344907407407408</v>
      </c>
      <c r="AJ112" s="66">
        <v>46</v>
      </c>
      <c r="AK112" s="67">
        <v>0.42891793558819602</v>
      </c>
    </row>
    <row r="113" spans="25:37" x14ac:dyDescent="0.3">
      <c r="Y113" s="64" t="s">
        <v>1148</v>
      </c>
      <c r="AA113" s="64" t="s">
        <v>1151</v>
      </c>
      <c r="AB113" s="66">
        <v>66</v>
      </c>
      <c r="AC113" s="65">
        <v>0.35488425925925926</v>
      </c>
      <c r="AD113" s="65">
        <v>3.7349537037037035E-2</v>
      </c>
      <c r="AE113" s="68">
        <v>0.2330787037037037</v>
      </c>
      <c r="AF113" s="67">
        <v>0.61917030852521004</v>
      </c>
      <c r="AG113" s="23">
        <f t="shared" si="1"/>
        <v>34</v>
      </c>
      <c r="AH113" s="64" t="s">
        <v>1108</v>
      </c>
      <c r="AI113" s="65">
        <v>0.16336805555555556</v>
      </c>
      <c r="AJ113" s="66">
        <v>35</v>
      </c>
      <c r="AK113" s="67">
        <v>0.43635543840177599</v>
      </c>
    </row>
    <row r="114" spans="25:37" x14ac:dyDescent="0.3">
      <c r="Y114" s="64" t="s">
        <v>1149</v>
      </c>
      <c r="AA114" s="64" t="s">
        <v>1152</v>
      </c>
      <c r="AB114" s="66">
        <v>67</v>
      </c>
      <c r="AC114" s="65">
        <v>0.33346064814814813</v>
      </c>
      <c r="AD114" s="65">
        <v>4.8194444444444443E-2</v>
      </c>
      <c r="AE114" s="68">
        <v>0.2029050925925926</v>
      </c>
      <c r="AF114" s="67">
        <v>0.55305265350039901</v>
      </c>
      <c r="AG114" s="23">
        <f t="shared" si="1"/>
        <v>33</v>
      </c>
      <c r="AH114" s="64" t="s">
        <v>1089</v>
      </c>
      <c r="AI114" s="65">
        <v>0.16271990740740741</v>
      </c>
      <c r="AJ114" s="66">
        <v>56</v>
      </c>
      <c r="AK114" s="67">
        <v>0.46542627048042201</v>
      </c>
    </row>
    <row r="115" spans="25:37" x14ac:dyDescent="0.3">
      <c r="Y115" s="64" t="s">
        <v>1150</v>
      </c>
      <c r="AA115" s="64" t="s">
        <v>1153</v>
      </c>
      <c r="AB115" s="66">
        <v>68</v>
      </c>
      <c r="AC115" s="65">
        <v>0.34430555555555553</v>
      </c>
      <c r="AD115" s="65">
        <v>4.7685185185185185E-2</v>
      </c>
      <c r="AE115" s="68">
        <v>0.20876157407407409</v>
      </c>
      <c r="AF115" s="67">
        <v>0.56195374478956595</v>
      </c>
      <c r="AG115" s="23">
        <f t="shared" si="1"/>
        <v>32</v>
      </c>
      <c r="AH115" s="64" t="s">
        <v>1109</v>
      </c>
      <c r="AI115" s="65">
        <v>0.16021990740740741</v>
      </c>
      <c r="AJ115" s="66">
        <v>34</v>
      </c>
      <c r="AK115" s="67">
        <v>0.451270369721395</v>
      </c>
    </row>
    <row r="116" spans="25:37" x14ac:dyDescent="0.3">
      <c r="Y116" s="64" t="s">
        <v>1151</v>
      </c>
      <c r="AA116" s="64" t="s">
        <v>1154</v>
      </c>
      <c r="AB116" s="66">
        <v>69</v>
      </c>
      <c r="AC116" s="65">
        <v>0.34439814814814818</v>
      </c>
      <c r="AD116" s="65">
        <v>8.2974537037037041E-2</v>
      </c>
      <c r="AE116" s="68">
        <v>0.19284722222222223</v>
      </c>
      <c r="AF116" s="67">
        <v>0.48780077967468699</v>
      </c>
      <c r="AG116" s="23">
        <f t="shared" si="1"/>
        <v>31</v>
      </c>
      <c r="AH116" s="64" t="s">
        <v>1024</v>
      </c>
      <c r="AI116" s="65">
        <v>0.15812499999999999</v>
      </c>
      <c r="AJ116" s="66">
        <v>65</v>
      </c>
      <c r="AK116" s="67">
        <v>0.41552495697073999</v>
      </c>
    </row>
    <row r="117" spans="25:37" x14ac:dyDescent="0.3">
      <c r="Y117" s="64" t="s">
        <v>1152</v>
      </c>
      <c r="AA117" s="64" t="s">
        <v>1155</v>
      </c>
      <c r="AB117" s="66">
        <v>70</v>
      </c>
      <c r="AC117" s="65">
        <v>0.34435185185185185</v>
      </c>
      <c r="AD117" s="65">
        <v>4.8414351851851854E-2</v>
      </c>
      <c r="AE117" s="68">
        <v>0.20849537037037036</v>
      </c>
      <c r="AF117" s="67">
        <v>0.55414762032804499</v>
      </c>
      <c r="AG117" s="23">
        <f t="shared" si="1"/>
        <v>30</v>
      </c>
      <c r="AH117" s="64" t="s">
        <v>1166</v>
      </c>
      <c r="AI117" s="65">
        <v>0.15380787037037036</v>
      </c>
      <c r="AJ117" s="66">
        <v>84</v>
      </c>
      <c r="AK117" s="67">
        <v>0.40332201825791802</v>
      </c>
    </row>
    <row r="118" spans="25:37" x14ac:dyDescent="0.3">
      <c r="Y118" s="64" t="s">
        <v>1153</v>
      </c>
      <c r="AA118" s="64" t="s">
        <v>1156</v>
      </c>
      <c r="AB118" s="66">
        <v>71</v>
      </c>
      <c r="AC118" s="65">
        <v>0.33491898148148147</v>
      </c>
      <c r="AD118" s="65">
        <v>4.8784722222222222E-2</v>
      </c>
      <c r="AE118" s="68">
        <v>0.21258101851851852</v>
      </c>
      <c r="AF118" s="67">
        <v>0.58651553374572396</v>
      </c>
      <c r="AG118" s="23">
        <f t="shared" si="1"/>
        <v>29</v>
      </c>
      <c r="AH118" s="64" t="s">
        <v>1013</v>
      </c>
      <c r="AI118" s="65">
        <v>0.15369212962962964</v>
      </c>
      <c r="AJ118" s="66">
        <v>92</v>
      </c>
      <c r="AK118" s="67">
        <v>0.65495030262646503</v>
      </c>
    </row>
    <row r="119" spans="25:37" x14ac:dyDescent="0.3">
      <c r="Y119" s="64" t="s">
        <v>1154</v>
      </c>
      <c r="AA119" s="64" t="s">
        <v>1157</v>
      </c>
      <c r="AB119" s="66">
        <v>72</v>
      </c>
      <c r="AC119" s="65">
        <v>0.34442129629629631</v>
      </c>
      <c r="AD119" s="65">
        <v>5.1342592592592592E-2</v>
      </c>
      <c r="AE119" s="68">
        <v>0.22203703703703703</v>
      </c>
      <c r="AF119" s="67">
        <v>0.58165871362322696</v>
      </c>
      <c r="AG119" s="23">
        <f t="shared" si="1"/>
        <v>28</v>
      </c>
      <c r="AH119" s="64" t="s">
        <v>1164</v>
      </c>
      <c r="AI119" s="65">
        <v>0.15355324074074075</v>
      </c>
      <c r="AJ119" s="66">
        <v>82</v>
      </c>
      <c r="AK119" s="67">
        <v>0.28371986821932998</v>
      </c>
    </row>
    <row r="120" spans="25:37" x14ac:dyDescent="0.3">
      <c r="Y120" s="64" t="s">
        <v>1155</v>
      </c>
      <c r="AA120" s="64" t="s">
        <v>1061</v>
      </c>
      <c r="AB120" s="66">
        <v>222</v>
      </c>
      <c r="AC120" s="65">
        <v>1.0142939814814815</v>
      </c>
      <c r="AD120" s="65">
        <v>0.14776620370370372</v>
      </c>
      <c r="AE120" s="68">
        <v>0.62321759259259257</v>
      </c>
      <c r="AF120" s="67">
        <v>1.7236731368386569</v>
      </c>
      <c r="AG120" s="23">
        <f t="shared" si="1"/>
        <v>-122</v>
      </c>
      <c r="AH120" s="64" t="s">
        <v>1126</v>
      </c>
      <c r="AI120" s="65">
        <v>0.15339120370370371</v>
      </c>
      <c r="AJ120" s="66">
        <v>39</v>
      </c>
      <c r="AK120" s="67">
        <v>0.39075685654008402</v>
      </c>
    </row>
    <row r="121" spans="25:37" x14ac:dyDescent="0.3">
      <c r="Y121" s="64" t="s">
        <v>1156</v>
      </c>
      <c r="AA121" s="64" t="s">
        <v>1158</v>
      </c>
      <c r="AB121" s="66">
        <v>76</v>
      </c>
      <c r="AC121" s="65">
        <v>0.33627314814814813</v>
      </c>
      <c r="AD121" s="65">
        <v>6.4317129629629627E-2</v>
      </c>
      <c r="AE121" s="68">
        <v>0.18991898148148148</v>
      </c>
      <c r="AF121" s="67">
        <v>0.53238796723342696</v>
      </c>
      <c r="AG121" s="23">
        <f t="shared" si="1"/>
        <v>24</v>
      </c>
      <c r="AH121" s="64" t="s">
        <v>1106</v>
      </c>
      <c r="AI121" s="65">
        <v>0.15189814814814814</v>
      </c>
      <c r="AJ121" s="66">
        <v>37</v>
      </c>
      <c r="AK121" s="67">
        <v>0.62762080802746201</v>
      </c>
    </row>
    <row r="122" spans="25:37" x14ac:dyDescent="0.3">
      <c r="Y122" s="64" t="s">
        <v>1157</v>
      </c>
      <c r="AA122" s="64" t="s">
        <v>1159</v>
      </c>
      <c r="AB122" s="66">
        <v>77</v>
      </c>
      <c r="AC122" s="65">
        <v>0.33471064814814816</v>
      </c>
      <c r="AD122" s="65">
        <v>7.3344907407407414E-2</v>
      </c>
      <c r="AE122" s="68">
        <v>0.18868055555555555</v>
      </c>
      <c r="AF122" s="67">
        <v>0.47020989660776702</v>
      </c>
      <c r="AG122" s="23">
        <f t="shared" si="1"/>
        <v>23</v>
      </c>
      <c r="AH122" s="64" t="s">
        <v>1184</v>
      </c>
      <c r="AI122" s="65">
        <v>0.15059027777777778</v>
      </c>
      <c r="AJ122" s="66">
        <v>104</v>
      </c>
      <c r="AK122" s="67">
        <v>0.37965983593576802</v>
      </c>
    </row>
    <row r="123" spans="25:37" x14ac:dyDescent="0.3">
      <c r="Y123" s="64" t="s">
        <v>1061</v>
      </c>
      <c r="AA123" s="64" t="s">
        <v>1160</v>
      </c>
      <c r="AB123" s="66">
        <v>78</v>
      </c>
      <c r="AC123" s="65">
        <v>0.33974537037037039</v>
      </c>
      <c r="AD123" s="65">
        <v>4.7754629629629633E-2</v>
      </c>
      <c r="AE123" s="68">
        <v>0.20261574074074074</v>
      </c>
      <c r="AF123" s="67">
        <v>0.54633099407235797</v>
      </c>
      <c r="AG123" s="23">
        <f t="shared" si="1"/>
        <v>22</v>
      </c>
      <c r="AH123" s="64" t="s">
        <v>1062</v>
      </c>
      <c r="AI123" s="65">
        <v>0.14710648148148148</v>
      </c>
      <c r="AJ123" s="66">
        <v>185</v>
      </c>
      <c r="AK123" s="67">
        <v>0.40255066518105698</v>
      </c>
    </row>
    <row r="124" spans="25:37" x14ac:dyDescent="0.3">
      <c r="Y124" s="64" t="s">
        <v>1158</v>
      </c>
      <c r="AA124" s="64" t="s">
        <v>1161</v>
      </c>
      <c r="AB124" s="66">
        <v>79</v>
      </c>
      <c r="AC124" s="65">
        <v>0.34557870370370369</v>
      </c>
      <c r="AD124" s="65">
        <v>0.15493055555555554</v>
      </c>
      <c r="AE124" s="68">
        <v>0.14315972222222223</v>
      </c>
      <c r="AF124" s="67">
        <v>0.38820416638756799</v>
      </c>
      <c r="AG124" s="23">
        <f t="shared" si="1"/>
        <v>21</v>
      </c>
      <c r="AH124" s="64" t="s">
        <v>1162</v>
      </c>
      <c r="AI124" s="65">
        <v>0.1439236111111111</v>
      </c>
      <c r="AJ124" s="66">
        <v>80</v>
      </c>
      <c r="AK124" s="67">
        <v>0.40277584042404802</v>
      </c>
    </row>
    <row r="125" spans="25:37" x14ac:dyDescent="0.3">
      <c r="Y125" s="64" t="s">
        <v>1159</v>
      </c>
      <c r="AA125" s="64" t="s">
        <v>1162</v>
      </c>
      <c r="AB125" s="66">
        <v>80</v>
      </c>
      <c r="AC125" s="65">
        <v>0.33189814814814816</v>
      </c>
      <c r="AD125" s="65">
        <v>0.13547453703703705</v>
      </c>
      <c r="AE125" s="68">
        <v>0.1439236111111111</v>
      </c>
      <c r="AF125" s="67">
        <v>0.40277584042404802</v>
      </c>
      <c r="AG125" s="23">
        <f t="shared" si="1"/>
        <v>20</v>
      </c>
      <c r="AH125" s="64" t="s">
        <v>1161</v>
      </c>
      <c r="AI125" s="65">
        <v>0.14315972222222223</v>
      </c>
      <c r="AJ125" s="66">
        <v>79</v>
      </c>
      <c r="AK125" s="67">
        <v>0.38820416638756799</v>
      </c>
    </row>
    <row r="126" spans="25:37" x14ac:dyDescent="0.3">
      <c r="Y126" s="64" t="s">
        <v>1160</v>
      </c>
      <c r="AA126" s="64" t="s">
        <v>1163</v>
      </c>
      <c r="AB126" s="66">
        <v>81</v>
      </c>
      <c r="AC126" s="65">
        <v>0.34369212962962964</v>
      </c>
      <c r="AD126" s="65">
        <v>4.8599537037037038E-2</v>
      </c>
      <c r="AE126" s="68">
        <v>0.22164351851851852</v>
      </c>
      <c r="AF126" s="67">
        <v>0.54352584610203702</v>
      </c>
      <c r="AG126" s="23">
        <f t="shared" si="1"/>
        <v>19</v>
      </c>
      <c r="AH126" s="64" t="s">
        <v>1135</v>
      </c>
      <c r="AI126" s="65">
        <v>0.14190972222222223</v>
      </c>
      <c r="AJ126" s="66">
        <v>50</v>
      </c>
      <c r="AK126" s="67">
        <v>0.62426796562859199</v>
      </c>
    </row>
    <row r="127" spans="25:37" x14ac:dyDescent="0.3">
      <c r="Y127" s="64" t="s">
        <v>1161</v>
      </c>
      <c r="AA127" s="64" t="s">
        <v>1164</v>
      </c>
      <c r="AB127" s="66">
        <v>82</v>
      </c>
      <c r="AC127" s="65">
        <v>0.3548263888888889</v>
      </c>
      <c r="AD127" s="65">
        <v>3.8645833333333331E-2</v>
      </c>
      <c r="AE127" s="68">
        <v>0.15355324074074075</v>
      </c>
      <c r="AF127" s="67">
        <v>0.28371986821932998</v>
      </c>
      <c r="AG127" s="23">
        <f t="shared" si="1"/>
        <v>18</v>
      </c>
      <c r="AH127" s="64" t="s">
        <v>1090</v>
      </c>
      <c r="AI127" s="65">
        <v>0.13993055555555556</v>
      </c>
      <c r="AJ127" s="66">
        <v>55</v>
      </c>
      <c r="AK127" s="67">
        <v>0.64380836602751801</v>
      </c>
    </row>
    <row r="128" spans="25:37" x14ac:dyDescent="0.3">
      <c r="Y128" s="64" t="s">
        <v>1162</v>
      </c>
      <c r="AA128" s="64" t="s">
        <v>1165</v>
      </c>
      <c r="AB128" s="66">
        <v>83</v>
      </c>
      <c r="AC128" s="65">
        <v>0.36775462962962963</v>
      </c>
      <c r="AD128" s="65">
        <v>7.048611111111111E-2</v>
      </c>
      <c r="AE128" s="68">
        <v>0.21557870370370372</v>
      </c>
      <c r="AF128" s="67">
        <v>0.56196890539434796</v>
      </c>
      <c r="AG128" s="23">
        <f t="shared" si="1"/>
        <v>17</v>
      </c>
      <c r="AH128" s="64" t="s">
        <v>1019</v>
      </c>
      <c r="AI128" s="65">
        <v>0.13870370370370369</v>
      </c>
      <c r="AJ128" s="66">
        <v>93</v>
      </c>
      <c r="AK128" s="67">
        <v>0.43288831738587802</v>
      </c>
    </row>
    <row r="129" spans="25:37" x14ac:dyDescent="0.3">
      <c r="Y129" s="64" t="s">
        <v>1163</v>
      </c>
      <c r="AA129" s="64" t="s">
        <v>1166</v>
      </c>
      <c r="AB129" s="66">
        <v>84</v>
      </c>
      <c r="AC129" s="65">
        <v>0.35119212962962965</v>
      </c>
      <c r="AD129" s="65">
        <v>0.14153935185185185</v>
      </c>
      <c r="AE129" s="68">
        <v>0.15380787037037036</v>
      </c>
      <c r="AF129" s="67">
        <v>0.40332201825791802</v>
      </c>
      <c r="AG129" s="23">
        <f t="shared" si="1"/>
        <v>16</v>
      </c>
      <c r="AH129" s="64" t="s">
        <v>1110</v>
      </c>
      <c r="AI129" s="65">
        <v>0.13449074074074074</v>
      </c>
      <c r="AJ129" s="66">
        <v>33</v>
      </c>
      <c r="AK129" s="67">
        <v>0.61244257486024201</v>
      </c>
    </row>
    <row r="130" spans="25:37" x14ac:dyDescent="0.3">
      <c r="Y130" s="64" t="s">
        <v>1164</v>
      </c>
      <c r="AA130" s="64" t="s">
        <v>1167</v>
      </c>
      <c r="AB130" s="66">
        <v>85</v>
      </c>
      <c r="AC130" s="65">
        <v>0.34143518518518517</v>
      </c>
      <c r="AD130" s="65">
        <v>9.5694444444444443E-2</v>
      </c>
      <c r="AE130" s="68">
        <v>0.17545138888888889</v>
      </c>
      <c r="AF130" s="67">
        <v>0.43796610169491501</v>
      </c>
      <c r="AG130" s="23">
        <f t="shared" si="1"/>
        <v>15</v>
      </c>
      <c r="AH130" s="64" t="s">
        <v>1097</v>
      </c>
      <c r="AI130" s="65">
        <v>0.13252314814814814</v>
      </c>
      <c r="AJ130" s="66">
        <v>48</v>
      </c>
      <c r="AK130" s="67">
        <v>0.58819557756147001</v>
      </c>
    </row>
    <row r="131" spans="25:37" x14ac:dyDescent="0.3">
      <c r="Y131" s="64" t="s">
        <v>1165</v>
      </c>
      <c r="AA131" s="64" t="s">
        <v>1168</v>
      </c>
      <c r="AB131" s="66">
        <v>86</v>
      </c>
      <c r="AC131" s="65">
        <v>0.34533564814814816</v>
      </c>
      <c r="AD131" s="65">
        <v>5.5231481481481479E-2</v>
      </c>
      <c r="AE131" s="68">
        <v>0.20476851851851852</v>
      </c>
      <c r="AF131" s="67">
        <v>0.55581995508931903</v>
      </c>
      <c r="AG131" s="23">
        <f t="shared" si="1"/>
        <v>14</v>
      </c>
      <c r="AH131" s="64" t="s">
        <v>1104</v>
      </c>
      <c r="AI131" s="65">
        <v>0.13162037037037036</v>
      </c>
      <c r="AJ131" s="66">
        <v>39</v>
      </c>
      <c r="AK131" s="67">
        <v>0.34903360911806097</v>
      </c>
    </row>
    <row r="132" spans="25:37" x14ac:dyDescent="0.3">
      <c r="Y132" s="64" t="s">
        <v>1166</v>
      </c>
      <c r="AA132" s="64" t="s">
        <v>1169</v>
      </c>
      <c r="AB132" s="66">
        <v>87</v>
      </c>
      <c r="AC132" s="65">
        <v>0.34416666666666668</v>
      </c>
      <c r="AD132" s="65">
        <v>0.19140046296296295</v>
      </c>
      <c r="AE132" s="68">
        <v>0.12054398148148149</v>
      </c>
      <c r="AF132" s="67">
        <v>0.326035781544256</v>
      </c>
      <c r="AG132" s="23">
        <f t="shared" si="1"/>
        <v>13</v>
      </c>
      <c r="AH132" s="64" t="s">
        <v>1063</v>
      </c>
      <c r="AI132" s="65">
        <v>0.1310300925925926</v>
      </c>
      <c r="AJ132" s="66">
        <v>106</v>
      </c>
      <c r="AK132" s="67">
        <v>0.60261183662128404</v>
      </c>
    </row>
    <row r="133" spans="25:37" x14ac:dyDescent="0.3">
      <c r="Y133" s="64" t="s">
        <v>1167</v>
      </c>
      <c r="AA133" s="64" t="s">
        <v>1170</v>
      </c>
      <c r="AB133" s="66">
        <v>88</v>
      </c>
      <c r="AC133" s="65">
        <v>0.33975694444444443</v>
      </c>
      <c r="AD133" s="65">
        <v>4.8506944444444443E-2</v>
      </c>
      <c r="AE133" s="68">
        <v>0.21278935185185185</v>
      </c>
      <c r="AF133" s="67">
        <v>0.57404190086867701</v>
      </c>
      <c r="AG133" s="23">
        <f t="shared" si="1"/>
        <v>12</v>
      </c>
      <c r="AH133" s="64" t="s">
        <v>1122</v>
      </c>
      <c r="AI133" s="65">
        <v>0.12767361111111111</v>
      </c>
      <c r="AJ133" s="66">
        <v>35</v>
      </c>
      <c r="AK133" s="67">
        <v>0.348600086352918</v>
      </c>
    </row>
    <row r="134" spans="25:37" x14ac:dyDescent="0.3">
      <c r="Y134" s="64" t="s">
        <v>1168</v>
      </c>
      <c r="AA134" s="64" t="s">
        <v>1171</v>
      </c>
      <c r="AB134" s="66">
        <v>89</v>
      </c>
      <c r="AC134" s="65">
        <v>0.33380787037037035</v>
      </c>
      <c r="AD134" s="65">
        <v>8.1423611111111113E-2</v>
      </c>
      <c r="AE134" s="68">
        <v>0.1744212962962963</v>
      </c>
      <c r="AF134" s="67">
        <v>0.45359037481363301</v>
      </c>
      <c r="AG134" s="23">
        <f t="shared" si="1"/>
        <v>11</v>
      </c>
      <c r="AH134" s="64" t="s">
        <v>1179</v>
      </c>
      <c r="AI134" s="65">
        <v>0.12475694444444445</v>
      </c>
      <c r="AJ134" s="66">
        <v>99</v>
      </c>
      <c r="AK134" s="67">
        <v>0.31066956086157999</v>
      </c>
    </row>
    <row r="135" spans="25:37" x14ac:dyDescent="0.3">
      <c r="Y135" s="64" t="s">
        <v>1169</v>
      </c>
      <c r="AA135" s="64" t="s">
        <v>1172</v>
      </c>
      <c r="AB135" s="66">
        <v>90</v>
      </c>
      <c r="AC135" s="65">
        <v>0.34012731481481484</v>
      </c>
      <c r="AD135" s="65">
        <v>0.19189814814814815</v>
      </c>
      <c r="AE135" s="68">
        <v>0.11028935185185185</v>
      </c>
      <c r="AF135" s="67">
        <v>0.29689998979140397</v>
      </c>
      <c r="AG135" s="23">
        <f t="shared" si="1"/>
        <v>10</v>
      </c>
      <c r="AH135" s="64" t="s">
        <v>1176</v>
      </c>
      <c r="AI135" s="65">
        <v>0.12112268518518518</v>
      </c>
      <c r="AJ135" s="66">
        <v>96</v>
      </c>
      <c r="AK135" s="67">
        <v>0.34289424860853401</v>
      </c>
    </row>
    <row r="136" spans="25:37" x14ac:dyDescent="0.3">
      <c r="Y136" s="64" t="s">
        <v>1170</v>
      </c>
      <c r="AA136" s="64" t="s">
        <v>1173</v>
      </c>
      <c r="AB136" s="66">
        <v>91</v>
      </c>
      <c r="AC136" s="65">
        <v>0.33354166666666668</v>
      </c>
      <c r="AD136" s="65">
        <v>5.1666666666666666E-2</v>
      </c>
      <c r="AE136" s="68">
        <v>0.19138888888888889</v>
      </c>
      <c r="AF136" s="67">
        <v>0.55729058227496697</v>
      </c>
      <c r="AG136" s="23">
        <f t="shared" si="1"/>
        <v>9</v>
      </c>
      <c r="AH136" s="64" t="s">
        <v>1123</v>
      </c>
      <c r="AI136" s="65">
        <v>0.12086805555555556</v>
      </c>
      <c r="AJ136" s="66">
        <v>36</v>
      </c>
      <c r="AK136" s="67">
        <v>0.314709762532982</v>
      </c>
    </row>
    <row r="137" spans="25:37" x14ac:dyDescent="0.3">
      <c r="Y137" s="64" t="s">
        <v>1171</v>
      </c>
      <c r="AA137" s="64" t="s">
        <v>1062</v>
      </c>
      <c r="AB137" s="66">
        <v>185</v>
      </c>
      <c r="AC137" s="65">
        <v>0.67259259259259263</v>
      </c>
      <c r="AD137" s="65">
        <v>0.25958333333333333</v>
      </c>
      <c r="AE137" s="68">
        <v>0.29421296296296295</v>
      </c>
      <c r="AF137" s="67">
        <v>0.80510133036211395</v>
      </c>
      <c r="AG137" s="23">
        <f t="shared" si="1"/>
        <v>-85</v>
      </c>
      <c r="AH137" s="64" t="s">
        <v>1169</v>
      </c>
      <c r="AI137" s="65">
        <v>0.12054398148148149</v>
      </c>
      <c r="AJ137" s="66">
        <v>87</v>
      </c>
      <c r="AK137" s="67">
        <v>0.326035781544256</v>
      </c>
    </row>
    <row r="138" spans="25:37" x14ac:dyDescent="0.3">
      <c r="Y138" s="64" t="s">
        <v>1172</v>
      </c>
      <c r="AA138" s="64" t="s">
        <v>1174</v>
      </c>
      <c r="AB138" s="66">
        <v>94</v>
      </c>
      <c r="AC138" s="65">
        <v>0.33709490740740738</v>
      </c>
      <c r="AD138" s="65">
        <v>8.7997685185185179E-2</v>
      </c>
      <c r="AE138" s="68">
        <v>0.18885416666666666</v>
      </c>
      <c r="AF138" s="67">
        <v>0.51110729613733896</v>
      </c>
      <c r="AG138" s="23">
        <f t="shared" si="1"/>
        <v>6</v>
      </c>
      <c r="AH138" s="64" t="s">
        <v>1144</v>
      </c>
      <c r="AI138" s="65">
        <v>0.12021990740740741</v>
      </c>
      <c r="AJ138" s="66">
        <v>59</v>
      </c>
      <c r="AK138" s="67">
        <v>0.41310286360211002</v>
      </c>
    </row>
    <row r="139" spans="25:37" x14ac:dyDescent="0.3">
      <c r="Y139" s="64" t="s">
        <v>1173</v>
      </c>
      <c r="AA139" s="64" t="s">
        <v>1175</v>
      </c>
      <c r="AB139" s="66">
        <v>95</v>
      </c>
      <c r="AC139" s="65">
        <v>0.34307870370370369</v>
      </c>
      <c r="AD139" s="65">
        <v>4.7395833333333331E-2</v>
      </c>
      <c r="AE139" s="68">
        <v>0.22166666666666668</v>
      </c>
      <c r="AF139" s="67">
        <v>0.58886040078267299</v>
      </c>
      <c r="AG139" s="23">
        <f t="shared" si="1"/>
        <v>5</v>
      </c>
      <c r="AH139" s="64" t="s">
        <v>1181</v>
      </c>
      <c r="AI139" s="65">
        <v>0.11953703703703704</v>
      </c>
      <c r="AJ139" s="66">
        <v>101</v>
      </c>
      <c r="AK139" s="67">
        <v>0.31685816164817698</v>
      </c>
    </row>
    <row r="140" spans="25:37" x14ac:dyDescent="0.3">
      <c r="Y140" s="64" t="s">
        <v>1062</v>
      </c>
      <c r="AA140" s="64" t="s">
        <v>1176</v>
      </c>
      <c r="AB140" s="66">
        <v>96</v>
      </c>
      <c r="AC140" s="65">
        <v>0.31192129629629628</v>
      </c>
      <c r="AD140" s="65">
        <v>0.1575462962962963</v>
      </c>
      <c r="AE140" s="68">
        <v>0.12112268518518518</v>
      </c>
      <c r="AF140" s="67">
        <v>0.34289424860853401</v>
      </c>
      <c r="AG140" s="23">
        <f t="shared" ref="AG140:AG151" si="2">100 - AB140</f>
        <v>4</v>
      </c>
      <c r="AH140" s="64" t="s">
        <v>1172</v>
      </c>
      <c r="AI140" s="65">
        <v>0.11028935185185185</v>
      </c>
      <c r="AJ140" s="66">
        <v>90</v>
      </c>
      <c r="AK140" s="67">
        <v>0.29689998979140397</v>
      </c>
    </row>
    <row r="141" spans="25:37" x14ac:dyDescent="0.3">
      <c r="Y141" s="64" t="s">
        <v>1174</v>
      </c>
      <c r="AA141" s="64" t="s">
        <v>1177</v>
      </c>
      <c r="AB141" s="66">
        <v>97</v>
      </c>
      <c r="AC141" s="65">
        <v>0.3568634259259259</v>
      </c>
      <c r="AD141" s="65">
        <v>9.5196759259259259E-2</v>
      </c>
      <c r="AE141" s="68">
        <v>0.19224537037037037</v>
      </c>
      <c r="AF141" s="67">
        <v>0.497486459313074</v>
      </c>
      <c r="AG141" s="23">
        <f t="shared" si="2"/>
        <v>3</v>
      </c>
      <c r="AH141" s="64" t="s">
        <v>1147</v>
      </c>
      <c r="AI141" s="65">
        <v>0.10450231481481481</v>
      </c>
      <c r="AJ141" s="66">
        <v>62</v>
      </c>
      <c r="AK141" s="67">
        <v>0.25444780127559602</v>
      </c>
    </row>
    <row r="142" spans="25:37" x14ac:dyDescent="0.3">
      <c r="Y142" s="64" t="s">
        <v>1175</v>
      </c>
      <c r="AA142" s="64" t="s">
        <v>1178</v>
      </c>
      <c r="AB142" s="66">
        <v>98</v>
      </c>
      <c r="AC142" s="65">
        <v>0.34392361111111114</v>
      </c>
      <c r="AD142" s="65">
        <v>4.8854166666666664E-2</v>
      </c>
      <c r="AE142" s="68">
        <v>0.20146990740740742</v>
      </c>
      <c r="AF142" s="67">
        <v>0.52431431936732298</v>
      </c>
      <c r="AG142" s="23">
        <f t="shared" si="2"/>
        <v>2</v>
      </c>
      <c r="AH142" s="64" t="s">
        <v>1140</v>
      </c>
      <c r="AI142" s="65">
        <v>6.6759259259259254E-2</v>
      </c>
      <c r="AJ142" s="66">
        <v>55</v>
      </c>
      <c r="AK142" s="67">
        <v>0.18938817836156199</v>
      </c>
    </row>
    <row r="143" spans="25:37" x14ac:dyDescent="0.3">
      <c r="Y143" s="64" t="s">
        <v>1176</v>
      </c>
      <c r="AA143" s="64" t="s">
        <v>1179</v>
      </c>
      <c r="AB143" s="66">
        <v>99</v>
      </c>
      <c r="AC143" s="65">
        <v>0.34658564814814813</v>
      </c>
      <c r="AD143" s="65">
        <v>0.18931712962962963</v>
      </c>
      <c r="AE143" s="68">
        <v>0.12475694444444445</v>
      </c>
      <c r="AF143" s="67">
        <v>0.31066956086157999</v>
      </c>
      <c r="AG143" s="23">
        <f t="shared" si="2"/>
        <v>1</v>
      </c>
      <c r="AH143" s="64" t="s">
        <v>1138</v>
      </c>
      <c r="AI143" s="65">
        <v>5.0763888888888886E-2</v>
      </c>
      <c r="AJ143" s="66">
        <v>53</v>
      </c>
      <c r="AK143" s="67">
        <v>0.14431174927516199</v>
      </c>
    </row>
    <row r="144" spans="25:37" x14ac:dyDescent="0.3">
      <c r="Y144" s="64" t="s">
        <v>1177</v>
      </c>
      <c r="AA144" s="64" t="s">
        <v>1180</v>
      </c>
      <c r="AB144" s="66">
        <v>100</v>
      </c>
      <c r="AC144" s="65">
        <v>0.34281250000000002</v>
      </c>
      <c r="AD144" s="65">
        <v>5.1898148148148152E-2</v>
      </c>
      <c r="AE144" s="68">
        <v>0.22505787037037037</v>
      </c>
      <c r="AF144" s="67">
        <v>0.58462473412336702</v>
      </c>
      <c r="AG144" s="23">
        <f t="shared" si="2"/>
        <v>0</v>
      </c>
      <c r="AH144" s="64" t="s">
        <v>1134</v>
      </c>
      <c r="AI144" s="65">
        <v>3.3715277777777775E-2</v>
      </c>
      <c r="AJ144" s="66">
        <v>47</v>
      </c>
      <c r="AK144" s="67">
        <v>9.4547987000066294E-2</v>
      </c>
    </row>
    <row r="145" spans="25:37" x14ac:dyDescent="0.3">
      <c r="Y145" s="64" t="s">
        <v>1178</v>
      </c>
      <c r="AA145" s="64" t="s">
        <v>1181</v>
      </c>
      <c r="AB145" s="66">
        <v>101</v>
      </c>
      <c r="AC145" s="65">
        <v>0.35055555555555556</v>
      </c>
      <c r="AD145" s="65">
        <v>0.21081018518518518</v>
      </c>
      <c r="AE145" s="68">
        <v>0.11953703703703704</v>
      </c>
      <c r="AF145" s="67">
        <v>0.31685816164817698</v>
      </c>
      <c r="AG145" s="23">
        <f t="shared" si="2"/>
        <v>-1</v>
      </c>
      <c r="AH145" s="64" t="s">
        <v>1137</v>
      </c>
      <c r="AI145" s="65">
        <v>0</v>
      </c>
      <c r="AJ145" s="66">
        <v>52</v>
      </c>
      <c r="AK145" s="67">
        <v>0</v>
      </c>
    </row>
    <row r="146" spans="25:37" x14ac:dyDescent="0.3">
      <c r="Y146" s="64" t="s">
        <v>1179</v>
      </c>
      <c r="AA146" s="64" t="s">
        <v>1182</v>
      </c>
      <c r="AB146" s="66">
        <v>102</v>
      </c>
      <c r="AC146" s="65">
        <v>0.34575231481481483</v>
      </c>
      <c r="AD146" s="65">
        <v>5.0046296296296297E-2</v>
      </c>
      <c r="AE146" s="68">
        <v>0.20268518518518519</v>
      </c>
      <c r="AF146" s="67">
        <v>0.56375322197301903</v>
      </c>
      <c r="AG146" s="23">
        <f t="shared" si="2"/>
        <v>-2</v>
      </c>
      <c r="AH146" s="64" t="s">
        <v>1149</v>
      </c>
      <c r="AI146" s="65">
        <v>0</v>
      </c>
      <c r="AJ146" s="66">
        <v>64</v>
      </c>
      <c r="AK146" s="67">
        <v>0</v>
      </c>
    </row>
    <row r="147" spans="25:37" x14ac:dyDescent="0.3">
      <c r="Y147" s="64" t="s">
        <v>1180</v>
      </c>
      <c r="AA147" s="64" t="s">
        <v>1183</v>
      </c>
      <c r="AB147" s="66">
        <v>103</v>
      </c>
      <c r="AC147" s="65">
        <v>0.35479166666666667</v>
      </c>
      <c r="AD147" s="65">
        <v>3.8946759259259257E-2</v>
      </c>
      <c r="AE147" s="68">
        <v>0.21916666666666668</v>
      </c>
      <c r="AF147" s="67">
        <v>0.54779147908918902</v>
      </c>
      <c r="AG147" s="23">
        <f t="shared" si="2"/>
        <v>-3</v>
      </c>
    </row>
    <row r="148" spans="25:37" x14ac:dyDescent="0.3">
      <c r="Y148" s="64" t="s">
        <v>1181</v>
      </c>
      <c r="AA148" s="64" t="s">
        <v>1184</v>
      </c>
      <c r="AB148" s="66">
        <v>104</v>
      </c>
      <c r="AC148" s="65">
        <v>0.36542824074074076</v>
      </c>
      <c r="AD148" s="65">
        <v>0.16840277777777779</v>
      </c>
      <c r="AE148" s="68">
        <v>0.15059027777777778</v>
      </c>
      <c r="AF148" s="67">
        <v>0.37965983593576802</v>
      </c>
      <c r="AG148" s="23">
        <f t="shared" si="2"/>
        <v>-4</v>
      </c>
    </row>
    <row r="149" spans="25:37" x14ac:dyDescent="0.3">
      <c r="Y149" s="64" t="s">
        <v>1182</v>
      </c>
      <c r="AA149" s="64" t="s">
        <v>1185</v>
      </c>
      <c r="AB149" s="66">
        <v>105</v>
      </c>
      <c r="AC149" s="65">
        <v>0.34370370370370368</v>
      </c>
      <c r="AD149" s="65">
        <v>5.0127314814814812E-2</v>
      </c>
      <c r="AE149" s="68">
        <v>0.21891203703703704</v>
      </c>
      <c r="AF149" s="67">
        <v>0.56529498922413801</v>
      </c>
      <c r="AG149" s="23">
        <f t="shared" si="2"/>
        <v>-5</v>
      </c>
    </row>
    <row r="150" spans="25:37" x14ac:dyDescent="0.3">
      <c r="Y150" s="64" t="s">
        <v>1183</v>
      </c>
      <c r="AA150" s="64" t="s">
        <v>1063</v>
      </c>
      <c r="AB150" s="66">
        <v>106</v>
      </c>
      <c r="AC150" s="65">
        <v>0.20827546296296295</v>
      </c>
      <c r="AD150" s="65">
        <v>1.0451388888888889E-2</v>
      </c>
      <c r="AE150" s="68">
        <v>0.1310300925925926</v>
      </c>
      <c r="AF150" s="67">
        <v>0.60261183662128404</v>
      </c>
      <c r="AG150" s="23">
        <f t="shared" si="2"/>
        <v>-6</v>
      </c>
    </row>
    <row r="151" spans="25:37" x14ac:dyDescent="0.3">
      <c r="Y151" s="64" t="s">
        <v>1184</v>
      </c>
      <c r="AA151" s="64" t="s">
        <v>1064</v>
      </c>
      <c r="AB151" s="66">
        <v>107</v>
      </c>
      <c r="AC151" s="65">
        <v>0.35688657407407409</v>
      </c>
      <c r="AD151" s="65">
        <v>9.5034722222222229E-2</v>
      </c>
      <c r="AE151" s="68">
        <v>0.19362268518518519</v>
      </c>
      <c r="AF151" s="67">
        <v>0.49813523593319298</v>
      </c>
      <c r="AG151" s="23">
        <f t="shared" si="2"/>
        <v>-7</v>
      </c>
    </row>
    <row r="152" spans="25:37" x14ac:dyDescent="0.3">
      <c r="Y152" s="64" t="s">
        <v>1185</v>
      </c>
    </row>
    <row r="153" spans="25:37" x14ac:dyDescent="0.3">
      <c r="Y153" s="64" t="s">
        <v>1063</v>
      </c>
    </row>
    <row r="154" spans="25:37" x14ac:dyDescent="0.3">
      <c r="Y154" s="64" t="s">
        <v>1064</v>
      </c>
    </row>
  </sheetData>
  <mergeCells count="22">
    <mergeCell ref="R1:R4"/>
    <mergeCell ref="A38:B41"/>
    <mergeCell ref="A35:B37"/>
    <mergeCell ref="D38:E41"/>
    <mergeCell ref="D35:E37"/>
    <mergeCell ref="G38:H41"/>
    <mergeCell ref="G35:H37"/>
    <mergeCell ref="A1:Q4"/>
    <mergeCell ref="A5:B7"/>
    <mergeCell ref="A8:B9"/>
    <mergeCell ref="D5:E7"/>
    <mergeCell ref="D8:E9"/>
    <mergeCell ref="G5:H7"/>
    <mergeCell ref="G8:H9"/>
    <mergeCell ref="J5:K7"/>
    <mergeCell ref="J8:K9"/>
    <mergeCell ref="A46:B49"/>
    <mergeCell ref="D46:E49"/>
    <mergeCell ref="A43:B45"/>
    <mergeCell ref="D43:E45"/>
    <mergeCell ref="G43:J45"/>
    <mergeCell ref="G46:J49"/>
  </mergeCells>
  <conditionalFormatting pivot="1" sqref="AI6:AI146">
    <cfRule type="aboveAverage" dxfId="1453" priority="3"/>
  </conditionalFormatting>
  <conditionalFormatting pivot="1" sqref="AI6:AI146">
    <cfRule type="expression" dxfId="1452" priority="2">
      <formula>$AI6&lt;TIME(4,30,0)</formula>
    </cfRule>
  </conditionalFormatting>
  <conditionalFormatting pivot="1" sqref="AI6:AI146">
    <cfRule type="expression" dxfId="1451" priority="1">
      <formula>$AI6&gt;=TIME(5,15,0)</formula>
    </cfRule>
  </conditionalFormatting>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49" r:id="rId19" name="Spinner 1">
              <controlPr defaultSize="0" autoPict="0" macro="[0]!REPORT1">
                <anchor moveWithCells="1" sizeWithCells="1">
                  <from>
                    <xdr:col>1</xdr:col>
                    <xdr:colOff>129540</xdr:colOff>
                    <xdr:row>4</xdr:row>
                    <xdr:rowOff>106680</xdr:rowOff>
                  </from>
                  <to>
                    <xdr:col>1</xdr:col>
                    <xdr:colOff>449580</xdr:colOff>
                    <xdr:row>6</xdr:row>
                    <xdr:rowOff>190500</xdr:rowOff>
                  </to>
                </anchor>
              </controlPr>
            </control>
          </mc:Choice>
        </mc:AlternateContent>
        <mc:AlternateContent xmlns:mc="http://schemas.openxmlformats.org/markup-compatibility/2006">
          <mc:Choice Requires="x14">
            <control shapeId="2052" r:id="rId20" name="Spinner 2">
              <controlPr defaultSize="0" autoPict="0" macro="[0]!REPORT1">
                <anchor moveWithCells="1" sizeWithCells="1">
                  <from>
                    <xdr:col>1</xdr:col>
                    <xdr:colOff>2125980</xdr:colOff>
                    <xdr:row>19</xdr:row>
                    <xdr:rowOff>7620</xdr:rowOff>
                  </from>
                  <to>
                    <xdr:col>1</xdr:col>
                    <xdr:colOff>2293620</xdr:colOff>
                    <xdr:row>20</xdr:row>
                    <xdr:rowOff>83820</xdr:rowOff>
                  </to>
                </anchor>
              </controlPr>
            </control>
          </mc:Choice>
        </mc:AlternateContent>
        <mc:AlternateContent xmlns:mc="http://schemas.openxmlformats.org/markup-compatibility/2006">
          <mc:Choice Requires="x14">
            <control shapeId="2057" r:id="rId21" name="Spinner 3">
              <controlPr defaultSize="0" autoPict="0" macro="[0]!Report2">
                <anchor moveWithCells="1" sizeWithCells="1">
                  <from>
                    <xdr:col>4</xdr:col>
                    <xdr:colOff>129540</xdr:colOff>
                    <xdr:row>4</xdr:row>
                    <xdr:rowOff>106680</xdr:rowOff>
                  </from>
                  <to>
                    <xdr:col>4</xdr:col>
                    <xdr:colOff>449580</xdr:colOff>
                    <xdr:row>6</xdr:row>
                    <xdr:rowOff>190500</xdr:rowOff>
                  </to>
                </anchor>
              </controlPr>
            </control>
          </mc:Choice>
        </mc:AlternateContent>
        <mc:AlternateContent xmlns:mc="http://schemas.openxmlformats.org/markup-compatibility/2006">
          <mc:Choice Requires="x14">
            <control shapeId="2059" r:id="rId22" name="Spinner 4">
              <controlPr defaultSize="0" autoPict="0" macro="[0]!Report2">
                <anchor moveWithCells="1" sizeWithCells="1">
                  <from>
                    <xdr:col>4</xdr:col>
                    <xdr:colOff>2019300</xdr:colOff>
                    <xdr:row>19</xdr:row>
                    <xdr:rowOff>30480</xdr:rowOff>
                  </from>
                  <to>
                    <xdr:col>4</xdr:col>
                    <xdr:colOff>2186940</xdr:colOff>
                    <xdr:row>20</xdr:row>
                    <xdr:rowOff>106680</xdr:rowOff>
                  </to>
                </anchor>
              </controlPr>
            </control>
          </mc:Choice>
        </mc:AlternateContent>
        <mc:AlternateContent xmlns:mc="http://schemas.openxmlformats.org/markup-compatibility/2006">
          <mc:Choice Requires="x14">
            <control shapeId="2060" r:id="rId23" name="Spinner 5">
              <controlPr defaultSize="0" autoPict="0" macro="[0]!REPORT3">
                <anchor moveWithCells="1" sizeWithCells="1">
                  <from>
                    <xdr:col>7</xdr:col>
                    <xdr:colOff>129540</xdr:colOff>
                    <xdr:row>4</xdr:row>
                    <xdr:rowOff>106680</xdr:rowOff>
                  </from>
                  <to>
                    <xdr:col>7</xdr:col>
                    <xdr:colOff>449580</xdr:colOff>
                    <xdr:row>6</xdr:row>
                    <xdr:rowOff>190500</xdr:rowOff>
                  </to>
                </anchor>
              </controlPr>
            </control>
          </mc:Choice>
        </mc:AlternateContent>
        <mc:AlternateContent xmlns:mc="http://schemas.openxmlformats.org/markup-compatibility/2006">
          <mc:Choice Requires="x14">
            <control shapeId="2061" r:id="rId24" name="Spinner 6">
              <controlPr defaultSize="0" autoPict="0" macro="[0]!REPORT3">
                <anchor moveWithCells="1" sizeWithCells="1">
                  <from>
                    <xdr:col>7</xdr:col>
                    <xdr:colOff>1950720</xdr:colOff>
                    <xdr:row>19</xdr:row>
                    <xdr:rowOff>30480</xdr:rowOff>
                  </from>
                  <to>
                    <xdr:col>7</xdr:col>
                    <xdr:colOff>2118360</xdr:colOff>
                    <xdr:row>20</xdr:row>
                    <xdr:rowOff>106680</xdr:rowOff>
                  </to>
                </anchor>
              </controlPr>
            </control>
          </mc:Choice>
        </mc:AlternateContent>
        <mc:AlternateContent xmlns:mc="http://schemas.openxmlformats.org/markup-compatibility/2006">
          <mc:Choice Requires="x14">
            <control shapeId="2063" r:id="rId25" name="Spinner 7">
              <controlPr defaultSize="0" autoPict="0" macro="[0]!REPORT4">
                <anchor moveWithCells="1" sizeWithCells="1">
                  <from>
                    <xdr:col>10</xdr:col>
                    <xdr:colOff>129540</xdr:colOff>
                    <xdr:row>4</xdr:row>
                    <xdr:rowOff>106680</xdr:rowOff>
                  </from>
                  <to>
                    <xdr:col>10</xdr:col>
                    <xdr:colOff>449580</xdr:colOff>
                    <xdr:row>6</xdr:row>
                    <xdr:rowOff>190500</xdr:rowOff>
                  </to>
                </anchor>
              </controlPr>
            </control>
          </mc:Choice>
        </mc:AlternateContent>
        <mc:AlternateContent xmlns:mc="http://schemas.openxmlformats.org/markup-compatibility/2006">
          <mc:Choice Requires="x14">
            <control shapeId="2064" r:id="rId26" name="Spinner 8">
              <controlPr defaultSize="0" autoPict="0" macro="[0]!REPORT4">
                <anchor moveWithCells="1" sizeWithCells="1">
                  <from>
                    <xdr:col>10</xdr:col>
                    <xdr:colOff>1950720</xdr:colOff>
                    <xdr:row>19</xdr:row>
                    <xdr:rowOff>22860</xdr:rowOff>
                  </from>
                  <to>
                    <xdr:col>10</xdr:col>
                    <xdr:colOff>2118360</xdr:colOff>
                    <xdr:row>20</xdr:row>
                    <xdr:rowOff>99060</xdr:rowOff>
                  </to>
                </anchor>
              </controlPr>
            </control>
          </mc:Choice>
        </mc:AlternateContent>
      </controls>
    </mc:Choice>
  </mc:AlternateContent>
  <extLst>
    <ext xmlns:x14="http://schemas.microsoft.com/office/spreadsheetml/2009/9/main" uri="{A8765BA9-456A-4dab-B4F3-ACF838C121DE}">
      <x14:slicerList>
        <x14:slicer r:id="rId2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52597-C6DE-453D-9781-F21C1BBDED30}">
  <sheetPr codeName="Sheet5"/>
  <dimension ref="A1:L147"/>
  <sheetViews>
    <sheetView workbookViewId="0">
      <selection activeCell="I8" sqref="I8"/>
    </sheetView>
  </sheetViews>
  <sheetFormatPr defaultRowHeight="14.4" x14ac:dyDescent="0.3"/>
  <cols>
    <col min="1" max="1" width="19.33203125" style="69" customWidth="1"/>
    <col min="2" max="2" width="19.77734375" style="69" customWidth="1"/>
    <col min="3" max="3" width="21.33203125" style="69" customWidth="1"/>
    <col min="4" max="4" width="25.21875" style="71" customWidth="1"/>
    <col min="5" max="5" width="22.77734375" style="69" customWidth="1"/>
    <col min="6" max="6" width="8.88671875" style="69"/>
    <col min="7" max="7" width="18.33203125" style="69" customWidth="1"/>
    <col min="8" max="8" width="12" style="69" customWidth="1"/>
    <col min="9" max="9" width="8.88671875" style="69"/>
    <col min="10" max="10" width="26.21875" style="69" customWidth="1"/>
    <col min="11" max="11" width="25.21875" style="69" customWidth="1"/>
    <col min="12" max="12" width="19" style="69" customWidth="1"/>
    <col min="13" max="16384" width="8.88671875" style="69"/>
  </cols>
  <sheetData>
    <row r="1" spans="1:12" x14ac:dyDescent="0.3">
      <c r="C1" s="70"/>
    </row>
    <row r="2" spans="1:12" x14ac:dyDescent="0.3">
      <c r="C2" s="70"/>
    </row>
    <row r="3" spans="1:12" x14ac:dyDescent="0.3">
      <c r="C3" s="70"/>
    </row>
    <row r="4" spans="1:12" x14ac:dyDescent="0.3">
      <c r="A4" s="72" t="s">
        <v>1034</v>
      </c>
      <c r="B4" s="69" t="s">
        <v>1010</v>
      </c>
      <c r="C4" s="70" t="s">
        <v>1012</v>
      </c>
      <c r="D4" s="71" t="s">
        <v>1033</v>
      </c>
      <c r="E4" s="69" t="s">
        <v>1030</v>
      </c>
      <c r="G4" s="69" t="s">
        <v>1041</v>
      </c>
      <c r="H4" s="69" t="s">
        <v>1040</v>
      </c>
    </row>
    <row r="5" spans="1:12" x14ac:dyDescent="0.3">
      <c r="A5" s="73" t="s">
        <v>1015</v>
      </c>
      <c r="B5" s="74">
        <v>98</v>
      </c>
      <c r="C5" s="70">
        <v>0.20693287037037036</v>
      </c>
      <c r="D5" s="71">
        <v>0.55697138822580095</v>
      </c>
      <c r="E5" s="70">
        <v>4.7708333333333332E-2</v>
      </c>
      <c r="G5" s="69">
        <v>100</v>
      </c>
      <c r="H5" s="69">
        <v>98</v>
      </c>
      <c r="I5" s="69">
        <f>G5-H5</f>
        <v>2</v>
      </c>
      <c r="J5" s="75"/>
      <c r="K5" s="75"/>
    </row>
    <row r="6" spans="1:12" ht="15" x14ac:dyDescent="0.3">
      <c r="A6" s="73" t="s">
        <v>1016</v>
      </c>
      <c r="B6" s="74">
        <v>23</v>
      </c>
      <c r="C6" s="70">
        <v>0.20733796296296297</v>
      </c>
      <c r="D6" s="71">
        <v>0.58027306967984904</v>
      </c>
      <c r="E6" s="70">
        <v>4.8599537037037038E-2</v>
      </c>
      <c r="G6" s="69">
        <v>100</v>
      </c>
      <c r="H6" s="69">
        <v>23</v>
      </c>
      <c r="I6" s="69">
        <f t="shared" ref="I6:I69" si="0">G6-H6</f>
        <v>77</v>
      </c>
      <c r="J6" s="76" t="s">
        <v>1035</v>
      </c>
      <c r="K6" s="77">
        <f>MAX(B5:B153)</f>
        <v>322</v>
      </c>
    </row>
    <row r="7" spans="1:12" ht="15" x14ac:dyDescent="0.3">
      <c r="A7" s="73" t="s">
        <v>1017</v>
      </c>
      <c r="B7" s="74">
        <v>28</v>
      </c>
      <c r="C7" s="70">
        <v>0.20109953703703703</v>
      </c>
      <c r="D7" s="71">
        <v>0.51708756749505302</v>
      </c>
      <c r="E7" s="70">
        <v>5.1319444444444445E-2</v>
      </c>
      <c r="G7" s="69">
        <v>100</v>
      </c>
      <c r="H7" s="69">
        <v>28</v>
      </c>
      <c r="I7" s="69">
        <f t="shared" si="0"/>
        <v>72</v>
      </c>
      <c r="J7" s="76" t="s">
        <v>1036</v>
      </c>
      <c r="K7" s="77" t="str">
        <f>INDEX($A$5:$A$153,MATCH(MAX($B$5:$B$153),$B$5:$B$153,0))</f>
        <v>Ashok Kumar</v>
      </c>
    </row>
    <row r="8" spans="1:12" ht="15" x14ac:dyDescent="0.3">
      <c r="A8" s="73" t="s">
        <v>1018</v>
      </c>
      <c r="B8" s="74">
        <v>29</v>
      </c>
      <c r="C8" s="70">
        <v>0.17884259259259258</v>
      </c>
      <c r="D8" s="71">
        <v>0.47720778337188702</v>
      </c>
      <c r="E8" s="70">
        <v>9.6550925925925929E-2</v>
      </c>
      <c r="G8" s="69">
        <v>100</v>
      </c>
      <c r="H8" s="69">
        <v>29</v>
      </c>
      <c r="I8" s="69">
        <f t="shared" si="0"/>
        <v>71</v>
      </c>
      <c r="J8" s="76" t="s">
        <v>1037</v>
      </c>
      <c r="K8" s="78">
        <f>AVERAGE(B5:B153)</f>
        <v>66.695035460992912</v>
      </c>
    </row>
    <row r="9" spans="1:12" x14ac:dyDescent="0.3">
      <c r="A9" s="73" t="s">
        <v>1019</v>
      </c>
      <c r="B9" s="74">
        <v>93</v>
      </c>
      <c r="C9" s="70">
        <v>0.13870370370370369</v>
      </c>
      <c r="D9" s="71">
        <v>0.43288831738587802</v>
      </c>
      <c r="E9" s="70">
        <v>0.12844907407407408</v>
      </c>
      <c r="G9" s="69">
        <v>100</v>
      </c>
      <c r="H9" s="69">
        <v>93</v>
      </c>
      <c r="I9" s="69">
        <f t="shared" si="0"/>
        <v>7</v>
      </c>
      <c r="J9" s="76"/>
    </row>
    <row r="10" spans="1:12" ht="15" x14ac:dyDescent="0.3">
      <c r="A10" s="73" t="s">
        <v>1013</v>
      </c>
      <c r="B10" s="74">
        <v>92</v>
      </c>
      <c r="C10" s="70">
        <v>0.15369212962962964</v>
      </c>
      <c r="D10" s="71">
        <v>0.65495030262646503</v>
      </c>
      <c r="E10" s="70">
        <v>1.8831018518518518E-2</v>
      </c>
      <c r="G10" s="69">
        <v>100</v>
      </c>
      <c r="H10" s="69">
        <v>92</v>
      </c>
      <c r="I10" s="69">
        <f t="shared" si="0"/>
        <v>8</v>
      </c>
      <c r="J10" s="76" t="s">
        <v>1038</v>
      </c>
      <c r="K10" s="79">
        <f>AVERAGE(E5:E153)</f>
        <v>8.4970859600735443E-2</v>
      </c>
    </row>
    <row r="11" spans="1:12" ht="10.199999999999999" customHeight="1" x14ac:dyDescent="0.3">
      <c r="A11" s="73" t="s">
        <v>1020</v>
      </c>
      <c r="B11" s="74">
        <v>26</v>
      </c>
      <c r="C11" s="70">
        <v>0.17553240740740741</v>
      </c>
      <c r="D11" s="71">
        <v>0.49476474931203401</v>
      </c>
      <c r="E11" s="70">
        <v>0.11229166666666666</v>
      </c>
      <c r="G11" s="69">
        <v>100</v>
      </c>
      <c r="H11" s="69">
        <v>26</v>
      </c>
      <c r="I11" s="69">
        <f t="shared" si="0"/>
        <v>74</v>
      </c>
      <c r="J11" s="76" t="s">
        <v>1039</v>
      </c>
      <c r="K11" s="80">
        <f>AVERAGE(D5:D153)</f>
        <v>0.49850080607846892</v>
      </c>
    </row>
    <row r="12" spans="1:12" ht="72" x14ac:dyDescent="0.3">
      <c r="A12" s="73" t="s">
        <v>1014</v>
      </c>
      <c r="B12" s="74">
        <v>90</v>
      </c>
      <c r="C12" s="70">
        <v>0.24453703703703702</v>
      </c>
      <c r="D12" s="71">
        <v>0.55128627474469205</v>
      </c>
      <c r="E12" s="70">
        <v>5.0810185185185187E-2</v>
      </c>
      <c r="G12" s="69">
        <v>100</v>
      </c>
      <c r="H12" s="69">
        <v>90</v>
      </c>
      <c r="I12" s="69">
        <f t="shared" si="0"/>
        <v>10</v>
      </c>
      <c r="J12" s="81" t="str">
        <f>"📊 SMART INSIGHTS"&amp;CHAR(10)&amp;
"🏆 Best Employee : "&amp;K7&amp;CHAR(10)&amp;
"📞 Highest Calls : "&amp;K6&amp;CHAR(10)&amp;
"☕ Avg Break : "&amp;TEXT(K10,"hh:mm:ss")</f>
        <v>📊 SMART INSIGHTS
🏆 Best Employee : Ashok Kumar
📞 Highest Calls : 322
☕ Avg Break : 02:02:21</v>
      </c>
    </row>
    <row r="13" spans="1:12" x14ac:dyDescent="0.3">
      <c r="A13" s="73" t="s">
        <v>1021</v>
      </c>
      <c r="B13" s="74">
        <v>89</v>
      </c>
      <c r="C13" s="70">
        <v>0.20311342592592593</v>
      </c>
      <c r="D13" s="71">
        <v>0.55206432867085597</v>
      </c>
      <c r="E13" s="70">
        <v>4.628472222222222E-2</v>
      </c>
      <c r="G13" s="69">
        <v>100</v>
      </c>
      <c r="H13" s="69">
        <v>89</v>
      </c>
      <c r="I13" s="69">
        <f t="shared" si="0"/>
        <v>11</v>
      </c>
      <c r="K13" s="69" t="s">
        <v>1042</v>
      </c>
      <c r="L13" s="69" t="s">
        <v>1043</v>
      </c>
    </row>
    <row r="14" spans="1:12" x14ac:dyDescent="0.3">
      <c r="A14" s="73" t="s">
        <v>1022</v>
      </c>
      <c r="B14" s="74">
        <v>54</v>
      </c>
      <c r="C14" s="70">
        <v>0.20702546296296295</v>
      </c>
      <c r="D14" s="71">
        <v>0.56868945774108703</v>
      </c>
      <c r="E14" s="70">
        <v>4.8576388888888891E-2</v>
      </c>
      <c r="G14" s="69">
        <v>100</v>
      </c>
      <c r="H14" s="69">
        <v>54</v>
      </c>
      <c r="I14" s="69">
        <f t="shared" si="0"/>
        <v>46</v>
      </c>
      <c r="K14" s="69">
        <v>14100</v>
      </c>
      <c r="L14" s="69">
        <v>9404</v>
      </c>
    </row>
    <row r="15" spans="1:12" x14ac:dyDescent="0.3">
      <c r="A15" s="73" t="s">
        <v>1023</v>
      </c>
      <c r="B15" s="74">
        <v>87</v>
      </c>
      <c r="C15" s="70">
        <v>0.20518518518518519</v>
      </c>
      <c r="D15" s="71">
        <v>0.56035332087650802</v>
      </c>
      <c r="E15" s="70">
        <v>4.809027777777778E-2</v>
      </c>
      <c r="G15" s="69">
        <v>100</v>
      </c>
      <c r="H15" s="69">
        <v>87</v>
      </c>
      <c r="I15" s="69">
        <f t="shared" si="0"/>
        <v>13</v>
      </c>
    </row>
    <row r="16" spans="1:12" x14ac:dyDescent="0.3">
      <c r="A16" s="73" t="s">
        <v>1024</v>
      </c>
      <c r="B16" s="74">
        <v>65</v>
      </c>
      <c r="C16" s="70">
        <v>0.15812499999999999</v>
      </c>
      <c r="D16" s="71">
        <v>0.41552495697073999</v>
      </c>
      <c r="E16" s="70">
        <v>0.12590277777777778</v>
      </c>
      <c r="G16" s="69">
        <v>100</v>
      </c>
      <c r="H16" s="69">
        <v>65</v>
      </c>
      <c r="I16" s="69">
        <f t="shared" si="0"/>
        <v>35</v>
      </c>
    </row>
    <row r="17" spans="1:9" x14ac:dyDescent="0.3">
      <c r="A17" s="73" t="s">
        <v>1025</v>
      </c>
      <c r="B17" s="74">
        <v>85</v>
      </c>
      <c r="C17" s="70">
        <v>0.19699074074074074</v>
      </c>
      <c r="D17" s="71">
        <v>0.50026955994339195</v>
      </c>
      <c r="E17" s="70">
        <v>8.7974537037037032E-2</v>
      </c>
      <c r="G17" s="69">
        <v>100</v>
      </c>
      <c r="H17" s="69">
        <v>85</v>
      </c>
      <c r="I17" s="69">
        <f t="shared" si="0"/>
        <v>15</v>
      </c>
    </row>
    <row r="18" spans="1:9" x14ac:dyDescent="0.3">
      <c r="A18" s="73" t="s">
        <v>1026</v>
      </c>
      <c r="B18" s="74">
        <v>65</v>
      </c>
      <c r="C18" s="70">
        <v>0.19475694444444444</v>
      </c>
      <c r="D18" s="71">
        <v>0.51396318166029897</v>
      </c>
      <c r="E18" s="70">
        <v>4.9004629629629627E-2</v>
      </c>
      <c r="G18" s="69">
        <v>100</v>
      </c>
      <c r="H18" s="69">
        <v>65</v>
      </c>
      <c r="I18" s="69">
        <f t="shared" si="0"/>
        <v>35</v>
      </c>
    </row>
    <row r="19" spans="1:9" x14ac:dyDescent="0.3">
      <c r="A19" s="73" t="s">
        <v>1027</v>
      </c>
      <c r="B19" s="74">
        <v>83</v>
      </c>
      <c r="C19" s="70">
        <v>0.2066550925925926</v>
      </c>
      <c r="D19" s="71">
        <v>0.510580502364264</v>
      </c>
      <c r="E19" s="70">
        <v>5.3460648148148146E-2</v>
      </c>
      <c r="G19" s="69">
        <v>100</v>
      </c>
      <c r="H19" s="69">
        <v>83</v>
      </c>
      <c r="I19" s="69">
        <f t="shared" si="0"/>
        <v>17</v>
      </c>
    </row>
    <row r="20" spans="1:9" x14ac:dyDescent="0.3">
      <c r="A20" s="73" t="s">
        <v>1003</v>
      </c>
      <c r="B20" s="74">
        <v>322</v>
      </c>
      <c r="C20" s="70">
        <v>0.76096064814814812</v>
      </c>
      <c r="D20" s="71">
        <v>0.52264871602840346</v>
      </c>
      <c r="E20" s="70">
        <v>0.299375</v>
      </c>
      <c r="G20" s="69">
        <v>100</v>
      </c>
      <c r="H20" s="69">
        <v>322</v>
      </c>
      <c r="I20" s="69">
        <f t="shared" si="0"/>
        <v>-222</v>
      </c>
    </row>
    <row r="21" spans="1:9" x14ac:dyDescent="0.3">
      <c r="A21" s="73" t="s">
        <v>1067</v>
      </c>
      <c r="B21" s="74">
        <v>78</v>
      </c>
      <c r="C21" s="70">
        <v>0.20710648148148147</v>
      </c>
      <c r="D21" s="71">
        <v>0.57495313336904097</v>
      </c>
      <c r="E21" s="70">
        <v>5.1736111111111108E-2</v>
      </c>
      <c r="G21" s="69">
        <v>100</v>
      </c>
      <c r="H21" s="69">
        <v>78</v>
      </c>
      <c r="I21" s="69">
        <f t="shared" si="0"/>
        <v>22</v>
      </c>
    </row>
    <row r="22" spans="1:9" x14ac:dyDescent="0.3">
      <c r="A22" s="73" t="s">
        <v>1068</v>
      </c>
      <c r="B22" s="74">
        <v>77</v>
      </c>
      <c r="C22" s="70">
        <v>0.20393518518518519</v>
      </c>
      <c r="D22" s="71">
        <v>0.57945376590932096</v>
      </c>
      <c r="E22" s="70">
        <v>4.6516203703703705E-2</v>
      </c>
      <c r="G22" s="69">
        <v>100</v>
      </c>
      <c r="H22" s="69">
        <v>77</v>
      </c>
      <c r="I22" s="69">
        <f t="shared" si="0"/>
        <v>23</v>
      </c>
    </row>
    <row r="23" spans="1:9" x14ac:dyDescent="0.3">
      <c r="A23" s="73" t="s">
        <v>1069</v>
      </c>
      <c r="B23" s="74">
        <v>76</v>
      </c>
      <c r="C23" s="70">
        <v>0.20821759259259259</v>
      </c>
      <c r="D23" s="71">
        <v>0.588296375695049</v>
      </c>
      <c r="E23" s="70">
        <v>4.8460648148148149E-2</v>
      </c>
      <c r="G23" s="69">
        <v>100</v>
      </c>
      <c r="H23" s="69">
        <v>76</v>
      </c>
      <c r="I23" s="69">
        <f t="shared" si="0"/>
        <v>24</v>
      </c>
    </row>
    <row r="24" spans="1:9" x14ac:dyDescent="0.3">
      <c r="A24" s="73" t="s">
        <v>1070</v>
      </c>
      <c r="B24" s="74">
        <v>75</v>
      </c>
      <c r="C24" s="70">
        <v>0.17288194444444444</v>
      </c>
      <c r="D24" s="71">
        <v>0.46267686976609901</v>
      </c>
      <c r="E24" s="70">
        <v>9.0486111111111114E-2</v>
      </c>
      <c r="G24" s="69">
        <v>100</v>
      </c>
      <c r="H24" s="69">
        <v>75</v>
      </c>
      <c r="I24" s="69">
        <f t="shared" si="0"/>
        <v>25</v>
      </c>
    </row>
    <row r="25" spans="1:9" x14ac:dyDescent="0.3">
      <c r="A25" s="73" t="s">
        <v>1071</v>
      </c>
      <c r="B25" s="74">
        <v>74</v>
      </c>
      <c r="C25" s="70">
        <v>0.17644675925925926</v>
      </c>
      <c r="D25" s="71">
        <v>0.478030199972793</v>
      </c>
      <c r="E25" s="70">
        <v>9.1168981481481476E-2</v>
      </c>
      <c r="G25" s="69">
        <v>100</v>
      </c>
      <c r="H25" s="69">
        <v>74</v>
      </c>
      <c r="I25" s="69">
        <f t="shared" si="0"/>
        <v>26</v>
      </c>
    </row>
    <row r="26" spans="1:9" x14ac:dyDescent="0.3">
      <c r="A26" s="73" t="s">
        <v>1072</v>
      </c>
      <c r="B26" s="74">
        <v>73</v>
      </c>
      <c r="C26" s="70">
        <v>0.22703703703703704</v>
      </c>
      <c r="D26" s="71">
        <v>0.59983142279163904</v>
      </c>
      <c r="E26" s="70">
        <v>5.0625000000000003E-2</v>
      </c>
      <c r="G26" s="69">
        <v>100</v>
      </c>
      <c r="H26" s="69">
        <v>73</v>
      </c>
      <c r="I26" s="69">
        <f t="shared" si="0"/>
        <v>27</v>
      </c>
    </row>
    <row r="27" spans="1:9" x14ac:dyDescent="0.3">
      <c r="A27" s="73" t="s">
        <v>1073</v>
      </c>
      <c r="B27" s="74">
        <v>72</v>
      </c>
      <c r="C27" s="70">
        <v>0.21199074074074073</v>
      </c>
      <c r="D27" s="71">
        <v>0.65029060203969702</v>
      </c>
      <c r="E27" s="70">
        <v>2.1180555555555557E-2</v>
      </c>
      <c r="G27" s="69">
        <v>100</v>
      </c>
      <c r="H27" s="69">
        <v>72</v>
      </c>
      <c r="I27" s="69">
        <f t="shared" si="0"/>
        <v>28</v>
      </c>
    </row>
    <row r="28" spans="1:9" x14ac:dyDescent="0.3">
      <c r="A28" s="73" t="s">
        <v>1074</v>
      </c>
      <c r="B28" s="74">
        <v>71</v>
      </c>
      <c r="C28" s="70">
        <v>0.20607638888888888</v>
      </c>
      <c r="D28" s="71">
        <v>0.55001844461584903</v>
      </c>
      <c r="E28" s="70">
        <v>4.9768518518518517E-2</v>
      </c>
      <c r="G28" s="69">
        <v>100</v>
      </c>
      <c r="H28" s="69">
        <v>71</v>
      </c>
      <c r="I28" s="69">
        <f t="shared" si="0"/>
        <v>29</v>
      </c>
    </row>
    <row r="29" spans="1:9" x14ac:dyDescent="0.3">
      <c r="A29" s="73" t="s">
        <v>1075</v>
      </c>
      <c r="B29" s="74">
        <v>70</v>
      </c>
      <c r="C29" s="70">
        <v>0.21273148148148149</v>
      </c>
      <c r="D29" s="71">
        <v>0.51334660682347399</v>
      </c>
      <c r="E29" s="70">
        <v>4.8645833333333333E-2</v>
      </c>
      <c r="G29" s="69">
        <v>100</v>
      </c>
      <c r="H29" s="69">
        <v>70</v>
      </c>
      <c r="I29" s="69">
        <f t="shared" si="0"/>
        <v>30</v>
      </c>
    </row>
    <row r="30" spans="1:9" x14ac:dyDescent="0.3">
      <c r="A30" s="73" t="s">
        <v>1076</v>
      </c>
      <c r="B30" s="74">
        <v>69</v>
      </c>
      <c r="C30" s="70">
        <v>0.17480324074074075</v>
      </c>
      <c r="D30" s="71">
        <v>0.43603379219817601</v>
      </c>
      <c r="E30" s="70">
        <v>0.11449074074074074</v>
      </c>
      <c r="G30" s="69">
        <v>100</v>
      </c>
      <c r="H30" s="69">
        <v>69</v>
      </c>
      <c r="I30" s="69">
        <f t="shared" si="0"/>
        <v>31</v>
      </c>
    </row>
    <row r="31" spans="1:9" x14ac:dyDescent="0.3">
      <c r="A31" s="73" t="s">
        <v>1077</v>
      </c>
      <c r="B31" s="74">
        <v>68</v>
      </c>
      <c r="C31" s="70">
        <v>0.1912962962962963</v>
      </c>
      <c r="D31" s="71">
        <v>0.52954105200417201</v>
      </c>
      <c r="E31" s="70">
        <v>5.5787037037037038E-2</v>
      </c>
      <c r="G31" s="69">
        <v>100</v>
      </c>
      <c r="H31" s="69">
        <v>68</v>
      </c>
      <c r="I31" s="69">
        <f t="shared" si="0"/>
        <v>32</v>
      </c>
    </row>
    <row r="32" spans="1:9" x14ac:dyDescent="0.3">
      <c r="A32" s="73" t="s">
        <v>1078</v>
      </c>
      <c r="B32" s="74">
        <v>67</v>
      </c>
      <c r="C32" s="70">
        <v>0.21824074074074074</v>
      </c>
      <c r="D32" s="71">
        <v>0.56446852102649603</v>
      </c>
      <c r="E32" s="70">
        <v>4.809027777777778E-2</v>
      </c>
      <c r="G32" s="69">
        <v>100</v>
      </c>
      <c r="H32" s="69">
        <v>67</v>
      </c>
      <c r="I32" s="69">
        <f t="shared" si="0"/>
        <v>33</v>
      </c>
    </row>
    <row r="33" spans="1:9" x14ac:dyDescent="0.3">
      <c r="A33" s="73" t="s">
        <v>1079</v>
      </c>
      <c r="B33" s="74">
        <v>66</v>
      </c>
      <c r="C33" s="70">
        <v>0.21184027777777778</v>
      </c>
      <c r="D33" s="71">
        <v>0.49789043664612898</v>
      </c>
      <c r="E33" s="70">
        <v>8.9745370370370364E-2</v>
      </c>
      <c r="G33" s="69">
        <v>100</v>
      </c>
      <c r="H33" s="69">
        <v>66</v>
      </c>
      <c r="I33" s="69">
        <f t="shared" si="0"/>
        <v>34</v>
      </c>
    </row>
    <row r="34" spans="1:9" x14ac:dyDescent="0.3">
      <c r="A34" s="73" t="s">
        <v>1080</v>
      </c>
      <c r="B34" s="74">
        <v>65</v>
      </c>
      <c r="C34" s="70">
        <v>0.20781250000000001</v>
      </c>
      <c r="D34" s="71">
        <v>0.56270450751252099</v>
      </c>
      <c r="E34" s="70">
        <v>4.7951388888888891E-2</v>
      </c>
      <c r="G34" s="69">
        <v>100</v>
      </c>
      <c r="H34" s="69">
        <v>65</v>
      </c>
      <c r="I34" s="69">
        <f t="shared" si="0"/>
        <v>35</v>
      </c>
    </row>
    <row r="35" spans="1:9" x14ac:dyDescent="0.3">
      <c r="A35" s="73" t="s">
        <v>1081</v>
      </c>
      <c r="B35" s="74">
        <v>64</v>
      </c>
      <c r="C35" s="70">
        <v>0.20981481481481482</v>
      </c>
      <c r="D35" s="71">
        <v>0.57680556021891705</v>
      </c>
      <c r="E35" s="70">
        <v>4.8564814814814818E-2</v>
      </c>
      <c r="G35" s="69">
        <v>100</v>
      </c>
      <c r="H35" s="69">
        <v>64</v>
      </c>
      <c r="I35" s="69">
        <f t="shared" si="0"/>
        <v>36</v>
      </c>
    </row>
    <row r="36" spans="1:9" x14ac:dyDescent="0.3">
      <c r="A36" s="73" t="s">
        <v>1082</v>
      </c>
      <c r="B36" s="74">
        <v>63</v>
      </c>
      <c r="C36" s="70">
        <v>0.18953703703703703</v>
      </c>
      <c r="D36" s="71">
        <v>0.55728373576970502</v>
      </c>
      <c r="E36" s="70">
        <v>6.1215277777777778E-2</v>
      </c>
      <c r="G36" s="69">
        <v>100</v>
      </c>
      <c r="H36" s="69">
        <v>63</v>
      </c>
      <c r="I36" s="69">
        <f t="shared" si="0"/>
        <v>37</v>
      </c>
    </row>
    <row r="37" spans="1:9" x14ac:dyDescent="0.3">
      <c r="A37" s="73" t="s">
        <v>1083</v>
      </c>
      <c r="B37" s="74">
        <v>62</v>
      </c>
      <c r="C37" s="70">
        <v>0.17200231481481482</v>
      </c>
      <c r="D37" s="71">
        <v>0.47590463594126198</v>
      </c>
      <c r="E37" s="70">
        <v>0.10777777777777778</v>
      </c>
      <c r="G37" s="69">
        <v>100</v>
      </c>
      <c r="H37" s="69">
        <v>62</v>
      </c>
      <c r="I37" s="69">
        <f t="shared" si="0"/>
        <v>38</v>
      </c>
    </row>
    <row r="38" spans="1:9" x14ac:dyDescent="0.3">
      <c r="A38" s="73" t="s">
        <v>1084</v>
      </c>
      <c r="B38" s="74">
        <v>61</v>
      </c>
      <c r="C38" s="70">
        <v>0.20243055555555556</v>
      </c>
      <c r="D38" s="71">
        <v>0.55636846224520997</v>
      </c>
      <c r="E38" s="70">
        <v>4.8333333333333332E-2</v>
      </c>
      <c r="G38" s="69">
        <v>100</v>
      </c>
      <c r="H38" s="69">
        <v>61</v>
      </c>
      <c r="I38" s="69">
        <f t="shared" si="0"/>
        <v>39</v>
      </c>
    </row>
    <row r="39" spans="1:9" x14ac:dyDescent="0.3">
      <c r="A39" s="73" t="s">
        <v>1085</v>
      </c>
      <c r="B39" s="74">
        <v>60</v>
      </c>
      <c r="C39" s="70">
        <v>0.20569444444444446</v>
      </c>
      <c r="D39" s="71">
        <v>0.527970147246689</v>
      </c>
      <c r="E39" s="70">
        <v>4.912037037037037E-2</v>
      </c>
      <c r="G39" s="69">
        <v>100</v>
      </c>
      <c r="H39" s="69">
        <v>60</v>
      </c>
      <c r="I39" s="69">
        <f t="shared" si="0"/>
        <v>40</v>
      </c>
    </row>
    <row r="40" spans="1:9" x14ac:dyDescent="0.3">
      <c r="A40" s="73" t="s">
        <v>1086</v>
      </c>
      <c r="B40" s="74">
        <v>59</v>
      </c>
      <c r="C40" s="70">
        <v>0.20620370370370369</v>
      </c>
      <c r="D40" s="71">
        <v>0.565025741108382</v>
      </c>
      <c r="E40" s="70">
        <v>4.8923611111111112E-2</v>
      </c>
      <c r="G40" s="69">
        <v>100</v>
      </c>
      <c r="H40" s="69">
        <v>59</v>
      </c>
      <c r="I40" s="69">
        <f t="shared" si="0"/>
        <v>41</v>
      </c>
    </row>
    <row r="41" spans="1:9" x14ac:dyDescent="0.3">
      <c r="A41" s="73" t="s">
        <v>1087</v>
      </c>
      <c r="B41" s="74">
        <v>58</v>
      </c>
      <c r="C41" s="70">
        <v>0.22590277777777779</v>
      </c>
      <c r="D41" s="71">
        <v>0.48579278917035301</v>
      </c>
      <c r="E41" s="70">
        <v>4.8750000000000002E-2</v>
      </c>
      <c r="G41" s="69">
        <v>100</v>
      </c>
      <c r="H41" s="69">
        <v>58</v>
      </c>
      <c r="I41" s="69">
        <f t="shared" si="0"/>
        <v>42</v>
      </c>
    </row>
    <row r="42" spans="1:9" x14ac:dyDescent="0.3">
      <c r="A42" s="73" t="s">
        <v>1088</v>
      </c>
      <c r="B42" s="74">
        <v>57</v>
      </c>
      <c r="C42" s="70">
        <v>0.20725694444444445</v>
      </c>
      <c r="D42" s="71">
        <v>0.572258996673499</v>
      </c>
      <c r="E42" s="70">
        <v>4.6990740740740743E-2</v>
      </c>
      <c r="G42" s="69">
        <v>100</v>
      </c>
      <c r="H42" s="69">
        <v>57</v>
      </c>
      <c r="I42" s="69">
        <f t="shared" si="0"/>
        <v>43</v>
      </c>
    </row>
    <row r="43" spans="1:9" x14ac:dyDescent="0.3">
      <c r="A43" s="73" t="s">
        <v>1089</v>
      </c>
      <c r="B43" s="74">
        <v>56</v>
      </c>
      <c r="C43" s="70">
        <v>0.16271990740740741</v>
      </c>
      <c r="D43" s="71">
        <v>0.46542627048042201</v>
      </c>
      <c r="E43" s="70">
        <v>0.10062500000000001</v>
      </c>
      <c r="G43" s="69">
        <v>100</v>
      </c>
      <c r="H43" s="69">
        <v>56</v>
      </c>
      <c r="I43" s="69">
        <f t="shared" si="0"/>
        <v>44</v>
      </c>
    </row>
    <row r="44" spans="1:9" x14ac:dyDescent="0.3">
      <c r="A44" s="73" t="s">
        <v>1090</v>
      </c>
      <c r="B44" s="74">
        <v>55</v>
      </c>
      <c r="C44" s="70">
        <v>0.13993055555555556</v>
      </c>
      <c r="D44" s="71">
        <v>0.64380836602751801</v>
      </c>
      <c r="E44" s="70">
        <v>1.0416666666666666E-2</v>
      </c>
      <c r="G44" s="69">
        <v>100</v>
      </c>
      <c r="H44" s="69">
        <v>55</v>
      </c>
      <c r="I44" s="69">
        <f t="shared" si="0"/>
        <v>45</v>
      </c>
    </row>
    <row r="45" spans="1:9" x14ac:dyDescent="0.3">
      <c r="A45" s="73" t="s">
        <v>1091</v>
      </c>
      <c r="B45" s="74">
        <v>54</v>
      </c>
      <c r="C45" s="70">
        <v>0.22140046296296295</v>
      </c>
      <c r="D45" s="71">
        <v>0.57347234098533195</v>
      </c>
      <c r="E45" s="70">
        <v>4.8437500000000001E-2</v>
      </c>
      <c r="G45" s="69">
        <v>100</v>
      </c>
      <c r="H45" s="69">
        <v>54</v>
      </c>
      <c r="I45" s="69">
        <f t="shared" si="0"/>
        <v>46</v>
      </c>
    </row>
    <row r="46" spans="1:9" x14ac:dyDescent="0.3">
      <c r="A46" s="73" t="s">
        <v>1092</v>
      </c>
      <c r="B46" s="74">
        <v>53</v>
      </c>
      <c r="C46" s="70">
        <v>0.22660879629629629</v>
      </c>
      <c r="D46" s="71">
        <v>0.64717479317021698</v>
      </c>
      <c r="E46" s="70">
        <v>3.9108796296296294E-2</v>
      </c>
      <c r="G46" s="69">
        <v>100</v>
      </c>
      <c r="H46" s="69">
        <v>53</v>
      </c>
      <c r="I46" s="69">
        <f t="shared" si="0"/>
        <v>47</v>
      </c>
    </row>
    <row r="47" spans="1:9" x14ac:dyDescent="0.3">
      <c r="A47" s="73" t="s">
        <v>1093</v>
      </c>
      <c r="B47" s="74">
        <v>52</v>
      </c>
      <c r="C47" s="70">
        <v>0.17586805555555557</v>
      </c>
      <c r="D47" s="71">
        <v>0.50443090556632497</v>
      </c>
      <c r="E47" s="70">
        <v>9.0555555555555556E-2</v>
      </c>
      <c r="G47" s="69">
        <v>100</v>
      </c>
      <c r="H47" s="69">
        <v>52</v>
      </c>
      <c r="I47" s="69">
        <f t="shared" si="0"/>
        <v>48</v>
      </c>
    </row>
    <row r="48" spans="1:9" x14ac:dyDescent="0.3">
      <c r="A48" s="73" t="s">
        <v>1094</v>
      </c>
      <c r="B48" s="74">
        <v>51</v>
      </c>
      <c r="C48" s="70">
        <v>0.21436342592592592</v>
      </c>
      <c r="D48" s="71">
        <v>0.55280122283511701</v>
      </c>
      <c r="E48" s="70">
        <v>4.8240740740740744E-2</v>
      </c>
      <c r="G48" s="69">
        <v>100</v>
      </c>
      <c r="H48" s="69">
        <v>51</v>
      </c>
      <c r="I48" s="69">
        <f t="shared" si="0"/>
        <v>49</v>
      </c>
    </row>
    <row r="49" spans="1:9" x14ac:dyDescent="0.3">
      <c r="A49" s="73" t="s">
        <v>1095</v>
      </c>
      <c r="B49" s="74">
        <v>50</v>
      </c>
      <c r="C49" s="70">
        <v>0.19798611111111111</v>
      </c>
      <c r="D49" s="71">
        <v>0.55493137782561897</v>
      </c>
      <c r="E49" s="70">
        <v>4.8437500000000001E-2</v>
      </c>
      <c r="G49" s="69">
        <v>100</v>
      </c>
      <c r="H49" s="69">
        <v>50</v>
      </c>
      <c r="I49" s="69">
        <f t="shared" si="0"/>
        <v>50</v>
      </c>
    </row>
    <row r="50" spans="1:9" x14ac:dyDescent="0.3">
      <c r="A50" s="73" t="s">
        <v>1096</v>
      </c>
      <c r="B50" s="74">
        <v>49</v>
      </c>
      <c r="C50" s="70">
        <v>0.19598379629629631</v>
      </c>
      <c r="D50" s="71">
        <v>0.55217497131332804</v>
      </c>
      <c r="E50" s="70">
        <v>4.8738425925925928E-2</v>
      </c>
      <c r="G50" s="69">
        <v>100</v>
      </c>
      <c r="H50" s="69">
        <v>49</v>
      </c>
      <c r="I50" s="69">
        <f t="shared" si="0"/>
        <v>51</v>
      </c>
    </row>
    <row r="51" spans="1:9" x14ac:dyDescent="0.3">
      <c r="A51" s="73" t="s">
        <v>1097</v>
      </c>
      <c r="B51" s="74">
        <v>48</v>
      </c>
      <c r="C51" s="70">
        <v>0.13252314814814814</v>
      </c>
      <c r="D51" s="71">
        <v>0.58819557756147001</v>
      </c>
      <c r="E51" s="70">
        <v>1.2615740740740742E-2</v>
      </c>
      <c r="G51" s="69">
        <v>100</v>
      </c>
      <c r="H51" s="69">
        <v>48</v>
      </c>
      <c r="I51" s="69">
        <f t="shared" si="0"/>
        <v>52</v>
      </c>
    </row>
    <row r="52" spans="1:9" x14ac:dyDescent="0.3">
      <c r="A52" s="73" t="s">
        <v>1098</v>
      </c>
      <c r="B52" s="74">
        <v>47</v>
      </c>
      <c r="C52" s="70">
        <v>0.19381944444444443</v>
      </c>
      <c r="D52" s="71">
        <v>0.55534863732407003</v>
      </c>
      <c r="E52" s="70">
        <v>5.1898148148148152E-2</v>
      </c>
      <c r="G52" s="69">
        <v>100</v>
      </c>
      <c r="H52" s="69">
        <v>47</v>
      </c>
      <c r="I52" s="69">
        <f t="shared" si="0"/>
        <v>53</v>
      </c>
    </row>
    <row r="53" spans="1:9" x14ac:dyDescent="0.3">
      <c r="A53" s="73" t="s">
        <v>1099</v>
      </c>
      <c r="B53" s="74">
        <v>46</v>
      </c>
      <c r="C53" s="70">
        <v>0.19890046296296296</v>
      </c>
      <c r="D53" s="71">
        <v>0.55815083469267301</v>
      </c>
      <c r="E53" s="70">
        <v>4.8657407407407406E-2</v>
      </c>
      <c r="G53" s="69">
        <v>100</v>
      </c>
      <c r="H53" s="69">
        <v>46</v>
      </c>
      <c r="I53" s="69">
        <f t="shared" si="0"/>
        <v>54</v>
      </c>
    </row>
    <row r="54" spans="1:9" x14ac:dyDescent="0.3">
      <c r="A54" s="73" t="s">
        <v>1100</v>
      </c>
      <c r="B54" s="74">
        <v>45</v>
      </c>
      <c r="C54" s="70">
        <v>0.20222222222222222</v>
      </c>
      <c r="D54" s="71">
        <v>0.53002824185919895</v>
      </c>
      <c r="E54" s="70">
        <v>4.8715277777777781E-2</v>
      </c>
      <c r="G54" s="69">
        <v>100</v>
      </c>
      <c r="H54" s="69">
        <v>45</v>
      </c>
      <c r="I54" s="69">
        <f t="shared" si="0"/>
        <v>55</v>
      </c>
    </row>
    <row r="55" spans="1:9" x14ac:dyDescent="0.3">
      <c r="A55" s="73" t="s">
        <v>1101</v>
      </c>
      <c r="B55" s="74">
        <v>44</v>
      </c>
      <c r="C55" s="70">
        <v>0.21112268518518518</v>
      </c>
      <c r="D55" s="71">
        <v>0.54639905548996504</v>
      </c>
      <c r="E55" s="70">
        <v>4.9062500000000002E-2</v>
      </c>
      <c r="G55" s="69">
        <v>100</v>
      </c>
      <c r="H55" s="69">
        <v>44</v>
      </c>
      <c r="I55" s="69">
        <f t="shared" si="0"/>
        <v>56</v>
      </c>
    </row>
    <row r="56" spans="1:9" x14ac:dyDescent="0.3">
      <c r="A56" s="73" t="s">
        <v>1102</v>
      </c>
      <c r="B56" s="74">
        <v>43</v>
      </c>
      <c r="C56" s="70">
        <v>0.18484953703703705</v>
      </c>
      <c r="D56" s="71">
        <v>0.52849609939323905</v>
      </c>
      <c r="E56" s="70">
        <v>4.9143518518518517E-2</v>
      </c>
      <c r="G56" s="69">
        <v>100</v>
      </c>
      <c r="H56" s="69">
        <v>43</v>
      </c>
      <c r="I56" s="69">
        <f t="shared" si="0"/>
        <v>57</v>
      </c>
    </row>
    <row r="57" spans="1:9" x14ac:dyDescent="0.3">
      <c r="A57" s="73" t="s">
        <v>1065</v>
      </c>
      <c r="B57" s="74">
        <v>83</v>
      </c>
      <c r="C57" s="70">
        <v>0.37417824074074074</v>
      </c>
      <c r="D57" s="71">
        <v>0.5321490047666575</v>
      </c>
      <c r="E57" s="70">
        <v>0.1012962962962963</v>
      </c>
      <c r="G57" s="69">
        <v>100</v>
      </c>
      <c r="H57" s="69">
        <v>83</v>
      </c>
      <c r="I57" s="69">
        <f t="shared" si="0"/>
        <v>17</v>
      </c>
    </row>
    <row r="58" spans="1:9" x14ac:dyDescent="0.3">
      <c r="A58" s="73" t="s">
        <v>1103</v>
      </c>
      <c r="B58" s="74">
        <v>40</v>
      </c>
      <c r="C58" s="70">
        <v>0.21151620370370369</v>
      </c>
      <c r="D58" s="71">
        <v>0.58954564004897303</v>
      </c>
      <c r="E58" s="70">
        <v>4.9756944444444444E-2</v>
      </c>
      <c r="G58" s="69">
        <v>100</v>
      </c>
      <c r="H58" s="69">
        <v>40</v>
      </c>
      <c r="I58" s="69">
        <f t="shared" si="0"/>
        <v>60</v>
      </c>
    </row>
    <row r="59" spans="1:9" x14ac:dyDescent="0.3">
      <c r="A59" s="73" t="s">
        <v>1104</v>
      </c>
      <c r="B59" s="74">
        <v>39</v>
      </c>
      <c r="C59" s="70">
        <v>0.13162037037037036</v>
      </c>
      <c r="D59" s="71">
        <v>0.34903360911806097</v>
      </c>
      <c r="E59" s="70">
        <v>0.14913194444444444</v>
      </c>
      <c r="G59" s="69">
        <v>100</v>
      </c>
      <c r="H59" s="69">
        <v>39</v>
      </c>
      <c r="I59" s="69">
        <f t="shared" si="0"/>
        <v>61</v>
      </c>
    </row>
    <row r="60" spans="1:9" x14ac:dyDescent="0.3">
      <c r="A60" s="73" t="s">
        <v>1105</v>
      </c>
      <c r="B60" s="74">
        <v>38</v>
      </c>
      <c r="C60" s="70">
        <v>0.17246527777777779</v>
      </c>
      <c r="D60" s="71">
        <v>0.47933717288067101</v>
      </c>
      <c r="E60" s="70">
        <v>9.194444444444444E-2</v>
      </c>
      <c r="G60" s="69">
        <v>100</v>
      </c>
      <c r="H60" s="69">
        <v>38</v>
      </c>
      <c r="I60" s="69">
        <f t="shared" si="0"/>
        <v>62</v>
      </c>
    </row>
    <row r="61" spans="1:9" x14ac:dyDescent="0.3">
      <c r="A61" s="73" t="s">
        <v>1106</v>
      </c>
      <c r="B61" s="74">
        <v>37</v>
      </c>
      <c r="C61" s="70">
        <v>0.15189814814814814</v>
      </c>
      <c r="D61" s="71">
        <v>0.62762080802746201</v>
      </c>
      <c r="E61" s="70">
        <v>1.0821759259259258E-2</v>
      </c>
      <c r="G61" s="69">
        <v>100</v>
      </c>
      <c r="H61" s="69">
        <v>37</v>
      </c>
      <c r="I61" s="69">
        <f t="shared" si="0"/>
        <v>63</v>
      </c>
    </row>
    <row r="62" spans="1:9" x14ac:dyDescent="0.3">
      <c r="A62" s="73" t="s">
        <v>1107</v>
      </c>
      <c r="B62" s="74">
        <v>36</v>
      </c>
      <c r="C62" s="70">
        <v>0.17645833333333333</v>
      </c>
      <c r="D62" s="71">
        <v>0.47561801557737898</v>
      </c>
      <c r="E62" s="70">
        <v>9.2442129629629624E-2</v>
      </c>
      <c r="G62" s="69">
        <v>100</v>
      </c>
      <c r="H62" s="69">
        <v>36</v>
      </c>
      <c r="I62" s="69">
        <f t="shared" si="0"/>
        <v>64</v>
      </c>
    </row>
    <row r="63" spans="1:9" x14ac:dyDescent="0.3">
      <c r="A63" s="73" t="s">
        <v>1108</v>
      </c>
      <c r="B63" s="74">
        <v>35</v>
      </c>
      <c r="C63" s="70">
        <v>0.16336805555555556</v>
      </c>
      <c r="D63" s="71">
        <v>0.43635543840177599</v>
      </c>
      <c r="E63" s="70">
        <v>0.11005787037037038</v>
      </c>
      <c r="G63" s="69">
        <v>100</v>
      </c>
      <c r="H63" s="69">
        <v>35</v>
      </c>
      <c r="I63" s="69">
        <f t="shared" si="0"/>
        <v>65</v>
      </c>
    </row>
    <row r="64" spans="1:9" x14ac:dyDescent="0.3">
      <c r="A64" s="73" t="s">
        <v>1109</v>
      </c>
      <c r="B64" s="74">
        <v>34</v>
      </c>
      <c r="C64" s="70">
        <v>0.16021990740740741</v>
      </c>
      <c r="D64" s="71">
        <v>0.451270369721395</v>
      </c>
      <c r="E64" s="70">
        <v>0.10043981481481482</v>
      </c>
      <c r="G64" s="69">
        <v>100</v>
      </c>
      <c r="H64" s="69">
        <v>34</v>
      </c>
      <c r="I64" s="69">
        <f t="shared" si="0"/>
        <v>66</v>
      </c>
    </row>
    <row r="65" spans="1:9" x14ac:dyDescent="0.3">
      <c r="A65" s="73" t="s">
        <v>1110</v>
      </c>
      <c r="B65" s="74">
        <v>33</v>
      </c>
      <c r="C65" s="70">
        <v>0.13449074074074074</v>
      </c>
      <c r="D65" s="71">
        <v>0.61244257486024201</v>
      </c>
      <c r="E65" s="70">
        <v>2.0532407407407409E-2</v>
      </c>
      <c r="G65" s="69">
        <v>100</v>
      </c>
      <c r="H65" s="69">
        <v>33</v>
      </c>
      <c r="I65" s="69">
        <f t="shared" si="0"/>
        <v>67</v>
      </c>
    </row>
    <row r="66" spans="1:9" x14ac:dyDescent="0.3">
      <c r="A66" s="73" t="s">
        <v>1111</v>
      </c>
      <c r="B66" s="74">
        <v>32</v>
      </c>
      <c r="C66" s="70">
        <v>0.19697916666666668</v>
      </c>
      <c r="D66" s="71">
        <v>0.51755872288115901</v>
      </c>
      <c r="E66" s="70">
        <v>5.1423611111111114E-2</v>
      </c>
      <c r="G66" s="69">
        <v>100</v>
      </c>
      <c r="H66" s="69">
        <v>32</v>
      </c>
      <c r="I66" s="69">
        <f t="shared" si="0"/>
        <v>68</v>
      </c>
    </row>
    <row r="67" spans="1:9" x14ac:dyDescent="0.3">
      <c r="A67" s="73" t="s">
        <v>1112</v>
      </c>
      <c r="B67" s="74">
        <v>31</v>
      </c>
      <c r="C67" s="70">
        <v>0.20438657407407407</v>
      </c>
      <c r="D67" s="71">
        <v>0.55550735760285597</v>
      </c>
      <c r="E67" s="70">
        <v>4.7534722222222221E-2</v>
      </c>
      <c r="G67" s="69">
        <v>100</v>
      </c>
      <c r="H67" s="69">
        <v>31</v>
      </c>
      <c r="I67" s="69">
        <f t="shared" si="0"/>
        <v>69</v>
      </c>
    </row>
    <row r="68" spans="1:9" x14ac:dyDescent="0.3">
      <c r="A68" s="73" t="s">
        <v>1113</v>
      </c>
      <c r="B68" s="74">
        <v>30</v>
      </c>
      <c r="C68" s="70">
        <v>0.19177083333333333</v>
      </c>
      <c r="D68" s="71">
        <v>0.45535862734013899</v>
      </c>
      <c r="E68" s="70">
        <v>9.3958333333333338E-2</v>
      </c>
      <c r="G68" s="69">
        <v>100</v>
      </c>
      <c r="H68" s="69">
        <v>30</v>
      </c>
      <c r="I68" s="69">
        <f t="shared" si="0"/>
        <v>70</v>
      </c>
    </row>
    <row r="69" spans="1:9" x14ac:dyDescent="0.3">
      <c r="A69" s="73" t="s">
        <v>1114</v>
      </c>
      <c r="B69" s="74">
        <v>29</v>
      </c>
      <c r="C69" s="70">
        <v>0.19739583333333333</v>
      </c>
      <c r="D69" s="71">
        <v>0.53445058742225304</v>
      </c>
      <c r="E69" s="70">
        <v>4.8645833333333333E-2</v>
      </c>
      <c r="G69" s="69">
        <v>100</v>
      </c>
      <c r="H69" s="69">
        <v>29</v>
      </c>
      <c r="I69" s="69">
        <f t="shared" si="0"/>
        <v>71</v>
      </c>
    </row>
    <row r="70" spans="1:9" x14ac:dyDescent="0.3">
      <c r="A70" s="73" t="s">
        <v>1115</v>
      </c>
      <c r="B70" s="74">
        <v>28</v>
      </c>
      <c r="C70" s="70">
        <v>0.20746527777777779</v>
      </c>
      <c r="D70" s="71">
        <v>0.55914916459773201</v>
      </c>
      <c r="E70" s="70">
        <v>6.7650462962962968E-2</v>
      </c>
      <c r="G70" s="69">
        <v>100</v>
      </c>
      <c r="H70" s="69">
        <v>28</v>
      </c>
      <c r="I70" s="69">
        <f t="shared" ref="I70:I133" si="1">G70-H70</f>
        <v>72</v>
      </c>
    </row>
    <row r="71" spans="1:9" x14ac:dyDescent="0.3">
      <c r="A71" s="73" t="s">
        <v>1116</v>
      </c>
      <c r="B71" s="74">
        <v>29</v>
      </c>
      <c r="C71" s="70">
        <v>0.19787037037037036</v>
      </c>
      <c r="D71" s="71">
        <v>0.56847106148351101</v>
      </c>
      <c r="E71" s="70">
        <v>4.853009259259259E-2</v>
      </c>
      <c r="G71" s="69">
        <v>100</v>
      </c>
      <c r="H71" s="69">
        <v>29</v>
      </c>
      <c r="I71" s="69">
        <f t="shared" si="1"/>
        <v>71</v>
      </c>
    </row>
    <row r="72" spans="1:9" x14ac:dyDescent="0.3">
      <c r="A72" s="73" t="s">
        <v>1117</v>
      </c>
      <c r="B72" s="74">
        <v>30</v>
      </c>
      <c r="C72" s="70">
        <v>0.18496527777777777</v>
      </c>
      <c r="D72" s="71">
        <v>0.47509108744394601</v>
      </c>
      <c r="E72" s="70">
        <v>6.6701388888888893E-2</v>
      </c>
      <c r="G72" s="69">
        <v>100</v>
      </c>
      <c r="H72" s="69">
        <v>30</v>
      </c>
      <c r="I72" s="69">
        <f t="shared" si="1"/>
        <v>70</v>
      </c>
    </row>
    <row r="73" spans="1:9" x14ac:dyDescent="0.3">
      <c r="A73" s="73" t="s">
        <v>1118</v>
      </c>
      <c r="B73" s="74">
        <v>31</v>
      </c>
      <c r="C73" s="70">
        <v>0.16811342592592593</v>
      </c>
      <c r="D73" s="71">
        <v>0.47578531804104401</v>
      </c>
      <c r="E73" s="70">
        <v>9.1597222222222219E-2</v>
      </c>
      <c r="G73" s="69">
        <v>100</v>
      </c>
      <c r="H73" s="69">
        <v>31</v>
      </c>
      <c r="I73" s="69">
        <f t="shared" si="1"/>
        <v>69</v>
      </c>
    </row>
    <row r="74" spans="1:9" x14ac:dyDescent="0.3">
      <c r="A74" s="73" t="s">
        <v>1119</v>
      </c>
      <c r="B74" s="74">
        <v>32</v>
      </c>
      <c r="C74" s="70">
        <v>0.16863425925925926</v>
      </c>
      <c r="D74" s="71">
        <v>0.46898271622042897</v>
      </c>
      <c r="E74" s="70">
        <v>0.10168981481481482</v>
      </c>
      <c r="G74" s="69">
        <v>100</v>
      </c>
      <c r="H74" s="69">
        <v>32</v>
      </c>
      <c r="I74" s="69">
        <f t="shared" si="1"/>
        <v>68</v>
      </c>
    </row>
    <row r="75" spans="1:9" x14ac:dyDescent="0.3">
      <c r="A75" s="73" t="s">
        <v>1120</v>
      </c>
      <c r="B75" s="74">
        <v>33</v>
      </c>
      <c r="C75" s="70">
        <v>0.18534722222222222</v>
      </c>
      <c r="D75" s="71">
        <v>0.51361161524500898</v>
      </c>
      <c r="E75" s="70">
        <v>8.0162037037037032E-2</v>
      </c>
      <c r="G75" s="69">
        <v>100</v>
      </c>
      <c r="H75" s="69">
        <v>33</v>
      </c>
      <c r="I75" s="69">
        <f t="shared" si="1"/>
        <v>67</v>
      </c>
    </row>
    <row r="76" spans="1:9" x14ac:dyDescent="0.3">
      <c r="A76" s="73" t="s">
        <v>1121</v>
      </c>
      <c r="B76" s="74">
        <v>34</v>
      </c>
      <c r="C76" s="70">
        <v>0.21642361111111111</v>
      </c>
      <c r="D76" s="71">
        <v>0.525112224318522</v>
      </c>
      <c r="E76" s="70">
        <v>6.8541666666666667E-2</v>
      </c>
      <c r="G76" s="69">
        <v>100</v>
      </c>
      <c r="H76" s="69">
        <v>34</v>
      </c>
      <c r="I76" s="69">
        <f t="shared" si="1"/>
        <v>66</v>
      </c>
    </row>
    <row r="77" spans="1:9" x14ac:dyDescent="0.3">
      <c r="A77" s="73" t="s">
        <v>1122</v>
      </c>
      <c r="B77" s="74">
        <v>35</v>
      </c>
      <c r="C77" s="70">
        <v>0.12767361111111111</v>
      </c>
      <c r="D77" s="71">
        <v>0.348600086352918</v>
      </c>
      <c r="E77" s="70">
        <v>0.17460648148148147</v>
      </c>
      <c r="G77" s="69">
        <v>100</v>
      </c>
      <c r="H77" s="69">
        <v>35</v>
      </c>
      <c r="I77" s="69">
        <f t="shared" si="1"/>
        <v>65</v>
      </c>
    </row>
    <row r="78" spans="1:9" x14ac:dyDescent="0.3">
      <c r="A78" s="73" t="s">
        <v>1123</v>
      </c>
      <c r="B78" s="74">
        <v>36</v>
      </c>
      <c r="C78" s="70">
        <v>0.12086805555555556</v>
      </c>
      <c r="D78" s="71">
        <v>0.314709762532982</v>
      </c>
      <c r="E78" s="70">
        <v>0.18131944444444445</v>
      </c>
      <c r="G78" s="69">
        <v>100</v>
      </c>
      <c r="H78" s="69">
        <v>36</v>
      </c>
      <c r="I78" s="69">
        <f t="shared" si="1"/>
        <v>64</v>
      </c>
    </row>
    <row r="79" spans="1:9" x14ac:dyDescent="0.3">
      <c r="A79" s="73" t="s">
        <v>1124</v>
      </c>
      <c r="B79" s="74">
        <v>37</v>
      </c>
      <c r="C79" s="70">
        <v>0.21581018518518519</v>
      </c>
      <c r="D79" s="71">
        <v>0.55600710333993597</v>
      </c>
      <c r="E79" s="70">
        <v>4.8900462962962965E-2</v>
      </c>
      <c r="G79" s="69">
        <v>100</v>
      </c>
      <c r="H79" s="69">
        <v>37</v>
      </c>
      <c r="I79" s="69">
        <f t="shared" si="1"/>
        <v>63</v>
      </c>
    </row>
    <row r="80" spans="1:9" x14ac:dyDescent="0.3">
      <c r="A80" s="73" t="s">
        <v>1125</v>
      </c>
      <c r="B80" s="74">
        <v>38</v>
      </c>
      <c r="C80" s="70">
        <v>0.17275462962962962</v>
      </c>
      <c r="D80" s="71">
        <v>0.46221628838451301</v>
      </c>
      <c r="E80" s="70">
        <v>0.10935185185185185</v>
      </c>
      <c r="G80" s="69">
        <v>100</v>
      </c>
      <c r="H80" s="69">
        <v>38</v>
      </c>
      <c r="I80" s="69">
        <f t="shared" si="1"/>
        <v>62</v>
      </c>
    </row>
    <row r="81" spans="1:9" x14ac:dyDescent="0.3">
      <c r="A81" s="73" t="s">
        <v>1126</v>
      </c>
      <c r="B81" s="74">
        <v>39</v>
      </c>
      <c r="C81" s="70">
        <v>0.15339120370370371</v>
      </c>
      <c r="D81" s="71">
        <v>0.39075685654008402</v>
      </c>
      <c r="E81" s="70">
        <v>0.13890046296296296</v>
      </c>
      <c r="G81" s="69">
        <v>100</v>
      </c>
      <c r="H81" s="69">
        <v>39</v>
      </c>
      <c r="I81" s="69">
        <f t="shared" si="1"/>
        <v>61</v>
      </c>
    </row>
    <row r="82" spans="1:9" x14ac:dyDescent="0.3">
      <c r="A82" s="73" t="s">
        <v>1127</v>
      </c>
      <c r="B82" s="74">
        <v>40</v>
      </c>
      <c r="C82" s="70">
        <v>0.21947916666666667</v>
      </c>
      <c r="D82" s="71">
        <v>0.54713623850130899</v>
      </c>
      <c r="E82" s="70">
        <v>4.7592592592592596E-2</v>
      </c>
      <c r="G82" s="69">
        <v>100</v>
      </c>
      <c r="H82" s="69">
        <v>40</v>
      </c>
      <c r="I82" s="69">
        <f t="shared" si="1"/>
        <v>60</v>
      </c>
    </row>
    <row r="83" spans="1:9" x14ac:dyDescent="0.3">
      <c r="A83" s="73" t="s">
        <v>1128</v>
      </c>
      <c r="B83" s="74">
        <v>41</v>
      </c>
      <c r="C83" s="70">
        <v>0.21346064814814814</v>
      </c>
      <c r="D83" s="71">
        <v>0.61457229509993805</v>
      </c>
      <c r="E83" s="70">
        <v>2.1064814814814814E-2</v>
      </c>
      <c r="G83" s="69">
        <v>100</v>
      </c>
      <c r="H83" s="69">
        <v>41</v>
      </c>
      <c r="I83" s="69">
        <f t="shared" si="1"/>
        <v>59</v>
      </c>
    </row>
    <row r="84" spans="1:9" x14ac:dyDescent="0.3">
      <c r="A84" s="73" t="s">
        <v>1129</v>
      </c>
      <c r="B84" s="74">
        <v>42</v>
      </c>
      <c r="C84" s="70">
        <v>0.21100694444444446</v>
      </c>
      <c r="D84" s="71">
        <v>0.55335578460387103</v>
      </c>
      <c r="E84" s="70">
        <v>4.7731481481481479E-2</v>
      </c>
      <c r="G84" s="69">
        <v>100</v>
      </c>
      <c r="H84" s="69">
        <v>42</v>
      </c>
      <c r="I84" s="69">
        <f t="shared" si="1"/>
        <v>58</v>
      </c>
    </row>
    <row r="85" spans="1:9" x14ac:dyDescent="0.3">
      <c r="A85" s="73" t="s">
        <v>1130</v>
      </c>
      <c r="B85" s="74">
        <v>43</v>
      </c>
      <c r="C85" s="70">
        <v>0.21214120370370371</v>
      </c>
      <c r="D85" s="71">
        <v>0.611363636363636</v>
      </c>
      <c r="E85" s="70">
        <v>4.7500000000000001E-2</v>
      </c>
      <c r="G85" s="69">
        <v>100</v>
      </c>
      <c r="H85" s="69">
        <v>43</v>
      </c>
      <c r="I85" s="69">
        <f t="shared" si="1"/>
        <v>57</v>
      </c>
    </row>
    <row r="86" spans="1:9" x14ac:dyDescent="0.3">
      <c r="A86" s="73" t="s">
        <v>1131</v>
      </c>
      <c r="B86" s="74">
        <v>44</v>
      </c>
      <c r="C86" s="70">
        <v>0.18670138888888888</v>
      </c>
      <c r="D86" s="71">
        <v>0.51217732689434703</v>
      </c>
      <c r="E86" s="70">
        <v>6.7430555555555549E-2</v>
      </c>
      <c r="G86" s="69">
        <v>100</v>
      </c>
      <c r="H86" s="69">
        <v>44</v>
      </c>
      <c r="I86" s="69">
        <f t="shared" si="1"/>
        <v>56</v>
      </c>
    </row>
    <row r="87" spans="1:9" x14ac:dyDescent="0.3">
      <c r="A87" s="73" t="s">
        <v>1132</v>
      </c>
      <c r="B87" s="74">
        <v>45</v>
      </c>
      <c r="C87" s="70">
        <v>0.20708333333333334</v>
      </c>
      <c r="D87" s="71">
        <v>0.56029910728991705</v>
      </c>
      <c r="E87" s="70">
        <v>5.4953703703703706E-2</v>
      </c>
      <c r="G87" s="69">
        <v>100</v>
      </c>
      <c r="H87" s="69">
        <v>45</v>
      </c>
      <c r="I87" s="69">
        <f t="shared" si="1"/>
        <v>55</v>
      </c>
    </row>
    <row r="88" spans="1:9" x14ac:dyDescent="0.3">
      <c r="A88" s="73" t="s">
        <v>1133</v>
      </c>
      <c r="B88" s="74">
        <v>46</v>
      </c>
      <c r="C88" s="70">
        <v>0.16344907407407408</v>
      </c>
      <c r="D88" s="71">
        <v>0.42891793558819602</v>
      </c>
      <c r="E88" s="70">
        <v>0.10712962962962963</v>
      </c>
      <c r="G88" s="69">
        <v>100</v>
      </c>
      <c r="H88" s="69">
        <v>46</v>
      </c>
      <c r="I88" s="69">
        <f t="shared" si="1"/>
        <v>54</v>
      </c>
    </row>
    <row r="89" spans="1:9" x14ac:dyDescent="0.3">
      <c r="A89" s="73" t="s">
        <v>1134</v>
      </c>
      <c r="B89" s="74">
        <v>47</v>
      </c>
      <c r="C89" s="70">
        <v>3.3715277777777775E-2</v>
      </c>
      <c r="D89" s="71">
        <v>9.4547987000066294E-2</v>
      </c>
      <c r="E89" s="70">
        <v>0.29744212962962963</v>
      </c>
      <c r="G89" s="69">
        <v>100</v>
      </c>
      <c r="H89" s="69">
        <v>47</v>
      </c>
      <c r="I89" s="69">
        <f t="shared" si="1"/>
        <v>53</v>
      </c>
    </row>
    <row r="90" spans="1:9" x14ac:dyDescent="0.3">
      <c r="A90" s="73" t="s">
        <v>1066</v>
      </c>
      <c r="B90" s="74">
        <v>97</v>
      </c>
      <c r="C90" s="70">
        <v>0.41770833333333335</v>
      </c>
      <c r="D90" s="71">
        <v>0.56141229847065799</v>
      </c>
      <c r="E90" s="70">
        <v>0.13795138888888889</v>
      </c>
      <c r="G90" s="69">
        <v>100</v>
      </c>
      <c r="H90" s="69">
        <v>97</v>
      </c>
      <c r="I90" s="69">
        <f t="shared" si="1"/>
        <v>3</v>
      </c>
    </row>
    <row r="91" spans="1:9" x14ac:dyDescent="0.3">
      <c r="A91" s="73" t="s">
        <v>1135</v>
      </c>
      <c r="B91" s="74">
        <v>50</v>
      </c>
      <c r="C91" s="70">
        <v>0.14190972222222223</v>
      </c>
      <c r="D91" s="71">
        <v>0.62426796562859199</v>
      </c>
      <c r="E91" s="70">
        <v>1.6979166666666667E-2</v>
      </c>
      <c r="G91" s="69">
        <v>100</v>
      </c>
      <c r="H91" s="69">
        <v>50</v>
      </c>
      <c r="I91" s="69">
        <f t="shared" si="1"/>
        <v>50</v>
      </c>
    </row>
    <row r="92" spans="1:9" x14ac:dyDescent="0.3">
      <c r="A92" s="73" t="s">
        <v>1136</v>
      </c>
      <c r="B92" s="74">
        <v>51</v>
      </c>
      <c r="C92" s="70">
        <v>0.19762731481481483</v>
      </c>
      <c r="D92" s="71">
        <v>0.54373153085832704</v>
      </c>
      <c r="E92" s="70">
        <v>4.8240740740740744E-2</v>
      </c>
      <c r="G92" s="69">
        <v>100</v>
      </c>
      <c r="H92" s="69">
        <v>51</v>
      </c>
      <c r="I92" s="69">
        <f t="shared" si="1"/>
        <v>49</v>
      </c>
    </row>
    <row r="93" spans="1:9" x14ac:dyDescent="0.3">
      <c r="A93" s="73" t="s">
        <v>1137</v>
      </c>
      <c r="B93" s="74">
        <v>52</v>
      </c>
      <c r="C93" s="70">
        <v>0</v>
      </c>
      <c r="D93" s="71">
        <v>0</v>
      </c>
      <c r="E93" s="70">
        <v>0.34385416666666668</v>
      </c>
      <c r="G93" s="69">
        <v>100</v>
      </c>
      <c r="H93" s="69">
        <v>52</v>
      </c>
      <c r="I93" s="69">
        <f t="shared" si="1"/>
        <v>48</v>
      </c>
    </row>
    <row r="94" spans="1:9" x14ac:dyDescent="0.3">
      <c r="A94" s="73" t="s">
        <v>1138</v>
      </c>
      <c r="B94" s="74">
        <v>53</v>
      </c>
      <c r="C94" s="70">
        <v>5.0763888888888886E-2</v>
      </c>
      <c r="D94" s="71">
        <v>0.14431174927516199</v>
      </c>
      <c r="E94" s="70">
        <v>0.27759259259259261</v>
      </c>
      <c r="G94" s="69">
        <v>100</v>
      </c>
      <c r="H94" s="69">
        <v>53</v>
      </c>
      <c r="I94" s="69">
        <f t="shared" si="1"/>
        <v>47</v>
      </c>
    </row>
    <row r="95" spans="1:9" x14ac:dyDescent="0.3">
      <c r="A95" s="73" t="s">
        <v>1139</v>
      </c>
      <c r="B95" s="74">
        <v>54</v>
      </c>
      <c r="C95" s="70">
        <v>0.20351851851851852</v>
      </c>
      <c r="D95" s="71">
        <v>0.55259293866381898</v>
      </c>
      <c r="E95" s="70">
        <v>5.122685185185185E-2</v>
      </c>
      <c r="G95" s="69">
        <v>100</v>
      </c>
      <c r="H95" s="69">
        <v>54</v>
      </c>
      <c r="I95" s="69">
        <f t="shared" si="1"/>
        <v>46</v>
      </c>
    </row>
    <row r="96" spans="1:9" x14ac:dyDescent="0.3">
      <c r="A96" s="73" t="s">
        <v>1140</v>
      </c>
      <c r="B96" s="74">
        <v>55</v>
      </c>
      <c r="C96" s="70">
        <v>6.6759259259259254E-2</v>
      </c>
      <c r="D96" s="71">
        <v>0.18938817836156199</v>
      </c>
      <c r="E96" s="70">
        <v>0.23973379629629629</v>
      </c>
      <c r="G96" s="69">
        <v>100</v>
      </c>
      <c r="H96" s="69">
        <v>55</v>
      </c>
      <c r="I96" s="69">
        <f t="shared" si="1"/>
        <v>45</v>
      </c>
    </row>
    <row r="97" spans="1:9" x14ac:dyDescent="0.3">
      <c r="A97" s="73" t="s">
        <v>1141</v>
      </c>
      <c r="B97" s="74">
        <v>56</v>
      </c>
      <c r="C97" s="70">
        <v>0.1784375</v>
      </c>
      <c r="D97" s="71">
        <v>0.47077424938419499</v>
      </c>
      <c r="E97" s="70">
        <v>8.6782407407407405E-2</v>
      </c>
      <c r="G97" s="69">
        <v>100</v>
      </c>
      <c r="H97" s="69">
        <v>56</v>
      </c>
      <c r="I97" s="69">
        <f t="shared" si="1"/>
        <v>44</v>
      </c>
    </row>
    <row r="98" spans="1:9" x14ac:dyDescent="0.3">
      <c r="A98" s="73" t="s">
        <v>1142</v>
      </c>
      <c r="B98" s="74">
        <v>57</v>
      </c>
      <c r="C98" s="70">
        <v>0.19934027777777777</v>
      </c>
      <c r="D98" s="71">
        <v>0.53862155040909698</v>
      </c>
      <c r="E98" s="70">
        <v>4.9467592592592591E-2</v>
      </c>
      <c r="G98" s="69">
        <v>100</v>
      </c>
      <c r="H98" s="69">
        <v>57</v>
      </c>
      <c r="I98" s="69">
        <f t="shared" si="1"/>
        <v>43</v>
      </c>
    </row>
    <row r="99" spans="1:9" x14ac:dyDescent="0.3">
      <c r="A99" s="73" t="s">
        <v>1143</v>
      </c>
      <c r="B99" s="74">
        <v>58</v>
      </c>
      <c r="C99" s="70">
        <v>0.19371527777777778</v>
      </c>
      <c r="D99" s="71">
        <v>0.53294365856189296</v>
      </c>
      <c r="E99" s="70">
        <v>4.8240740740740744E-2</v>
      </c>
      <c r="G99" s="69">
        <v>100</v>
      </c>
      <c r="H99" s="69">
        <v>58</v>
      </c>
      <c r="I99" s="69">
        <f t="shared" si="1"/>
        <v>42</v>
      </c>
    </row>
    <row r="100" spans="1:9" x14ac:dyDescent="0.3">
      <c r="A100" s="73" t="s">
        <v>1144</v>
      </c>
      <c r="B100" s="74">
        <v>59</v>
      </c>
      <c r="C100" s="70">
        <v>0.12021990740740741</v>
      </c>
      <c r="D100" s="71">
        <v>0.41310286360211002</v>
      </c>
      <c r="E100" s="70">
        <v>0.11229166666666666</v>
      </c>
      <c r="G100" s="69">
        <v>100</v>
      </c>
      <c r="H100" s="69">
        <v>59</v>
      </c>
      <c r="I100" s="69">
        <f t="shared" si="1"/>
        <v>41</v>
      </c>
    </row>
    <row r="101" spans="1:9" x14ac:dyDescent="0.3">
      <c r="A101" s="73" t="s">
        <v>1145</v>
      </c>
      <c r="B101" s="74">
        <v>60</v>
      </c>
      <c r="C101" s="70">
        <v>0.18254629629629629</v>
      </c>
      <c r="D101" s="71">
        <v>0.50483838451717</v>
      </c>
      <c r="E101" s="70">
        <v>7.6817129629629624E-2</v>
      </c>
      <c r="G101" s="69">
        <v>100</v>
      </c>
      <c r="H101" s="69">
        <v>60</v>
      </c>
      <c r="I101" s="69">
        <f t="shared" si="1"/>
        <v>40</v>
      </c>
    </row>
    <row r="102" spans="1:9" x14ac:dyDescent="0.3">
      <c r="A102" s="73" t="s">
        <v>1146</v>
      </c>
      <c r="B102" s="74">
        <v>61</v>
      </c>
      <c r="C102" s="70">
        <v>0.18436342592592592</v>
      </c>
      <c r="D102" s="71">
        <v>0.52390558805729304</v>
      </c>
      <c r="E102" s="70">
        <v>6.7326388888888894E-2</v>
      </c>
      <c r="G102" s="69">
        <v>100</v>
      </c>
      <c r="H102" s="69">
        <v>61</v>
      </c>
      <c r="I102" s="69">
        <f t="shared" si="1"/>
        <v>39</v>
      </c>
    </row>
    <row r="103" spans="1:9" x14ac:dyDescent="0.3">
      <c r="A103" s="73" t="s">
        <v>1147</v>
      </c>
      <c r="B103" s="74">
        <v>62</v>
      </c>
      <c r="C103" s="70">
        <v>0.10450231481481481</v>
      </c>
      <c r="D103" s="71">
        <v>0.25444780127559602</v>
      </c>
      <c r="E103" s="70">
        <v>0.21383101851851852</v>
      </c>
      <c r="G103" s="69">
        <v>100</v>
      </c>
      <c r="H103" s="69">
        <v>62</v>
      </c>
      <c r="I103" s="69">
        <f t="shared" si="1"/>
        <v>38</v>
      </c>
    </row>
    <row r="104" spans="1:9" x14ac:dyDescent="0.3">
      <c r="A104" s="73" t="s">
        <v>1148</v>
      </c>
      <c r="B104" s="74">
        <v>63</v>
      </c>
      <c r="C104" s="70">
        <v>0.20292824074074073</v>
      </c>
      <c r="D104" s="71">
        <v>0.55517503805174995</v>
      </c>
      <c r="E104" s="70">
        <v>5.0925925925925923E-2</v>
      </c>
      <c r="G104" s="69">
        <v>100</v>
      </c>
      <c r="H104" s="69">
        <v>63</v>
      </c>
      <c r="I104" s="69">
        <f t="shared" si="1"/>
        <v>37</v>
      </c>
    </row>
    <row r="105" spans="1:9" x14ac:dyDescent="0.3">
      <c r="A105" s="73" t="s">
        <v>1149</v>
      </c>
      <c r="B105" s="74">
        <v>64</v>
      </c>
      <c r="C105" s="70">
        <v>0</v>
      </c>
      <c r="D105" s="71">
        <v>0</v>
      </c>
      <c r="E105" s="70">
        <v>0.34513888888888888</v>
      </c>
      <c r="G105" s="69">
        <v>100</v>
      </c>
      <c r="H105" s="69">
        <v>64</v>
      </c>
      <c r="I105" s="69">
        <f t="shared" si="1"/>
        <v>36</v>
      </c>
    </row>
    <row r="106" spans="1:9" x14ac:dyDescent="0.3">
      <c r="A106" s="73" t="s">
        <v>1150</v>
      </c>
      <c r="B106" s="74">
        <v>65</v>
      </c>
      <c r="C106" s="70">
        <v>0.17256944444444444</v>
      </c>
      <c r="D106" s="71">
        <v>0.477120667047709</v>
      </c>
      <c r="E106" s="70">
        <v>9.0462962962962967E-2</v>
      </c>
      <c r="G106" s="69">
        <v>100</v>
      </c>
      <c r="H106" s="69">
        <v>65</v>
      </c>
      <c r="I106" s="69">
        <f t="shared" si="1"/>
        <v>35</v>
      </c>
    </row>
    <row r="107" spans="1:9" x14ac:dyDescent="0.3">
      <c r="A107" s="73" t="s">
        <v>1151</v>
      </c>
      <c r="B107" s="74">
        <v>66</v>
      </c>
      <c r="C107" s="70">
        <v>0.2330787037037037</v>
      </c>
      <c r="D107" s="71">
        <v>0.61917030852521004</v>
      </c>
      <c r="E107" s="70">
        <v>3.7349537037037035E-2</v>
      </c>
      <c r="G107" s="69">
        <v>100</v>
      </c>
      <c r="H107" s="69">
        <v>66</v>
      </c>
      <c r="I107" s="69">
        <f t="shared" si="1"/>
        <v>34</v>
      </c>
    </row>
    <row r="108" spans="1:9" x14ac:dyDescent="0.3">
      <c r="A108" s="73" t="s">
        <v>1152</v>
      </c>
      <c r="B108" s="74">
        <v>67</v>
      </c>
      <c r="C108" s="70">
        <v>0.2029050925925926</v>
      </c>
      <c r="D108" s="71">
        <v>0.55305265350039901</v>
      </c>
      <c r="E108" s="70">
        <v>4.8194444444444443E-2</v>
      </c>
      <c r="G108" s="69">
        <v>100</v>
      </c>
      <c r="H108" s="69">
        <v>67</v>
      </c>
      <c r="I108" s="69">
        <f t="shared" si="1"/>
        <v>33</v>
      </c>
    </row>
    <row r="109" spans="1:9" x14ac:dyDescent="0.3">
      <c r="A109" s="73" t="s">
        <v>1153</v>
      </c>
      <c r="B109" s="74">
        <v>68</v>
      </c>
      <c r="C109" s="70">
        <v>0.20876157407407409</v>
      </c>
      <c r="D109" s="71">
        <v>0.56195374478956595</v>
      </c>
      <c r="E109" s="70">
        <v>4.7685185185185185E-2</v>
      </c>
      <c r="G109" s="69">
        <v>100</v>
      </c>
      <c r="H109" s="69">
        <v>68</v>
      </c>
      <c r="I109" s="69">
        <f t="shared" si="1"/>
        <v>32</v>
      </c>
    </row>
    <row r="110" spans="1:9" x14ac:dyDescent="0.3">
      <c r="A110" s="73" t="s">
        <v>1154</v>
      </c>
      <c r="B110" s="74">
        <v>69</v>
      </c>
      <c r="C110" s="70">
        <v>0.19284722222222223</v>
      </c>
      <c r="D110" s="71">
        <v>0.48780077967468699</v>
      </c>
      <c r="E110" s="70">
        <v>8.2974537037037041E-2</v>
      </c>
      <c r="G110" s="69">
        <v>100</v>
      </c>
      <c r="H110" s="69">
        <v>69</v>
      </c>
      <c r="I110" s="69">
        <f t="shared" si="1"/>
        <v>31</v>
      </c>
    </row>
    <row r="111" spans="1:9" x14ac:dyDescent="0.3">
      <c r="A111" s="73" t="s">
        <v>1155</v>
      </c>
      <c r="B111" s="74">
        <v>70</v>
      </c>
      <c r="C111" s="70">
        <v>0.20849537037037036</v>
      </c>
      <c r="D111" s="71">
        <v>0.55414762032804499</v>
      </c>
      <c r="E111" s="70">
        <v>4.8414351851851854E-2</v>
      </c>
      <c r="G111" s="69">
        <v>100</v>
      </c>
      <c r="H111" s="69">
        <v>70</v>
      </c>
      <c r="I111" s="69">
        <f t="shared" si="1"/>
        <v>30</v>
      </c>
    </row>
    <row r="112" spans="1:9" x14ac:dyDescent="0.3">
      <c r="A112" s="73" t="s">
        <v>1156</v>
      </c>
      <c r="B112" s="74">
        <v>71</v>
      </c>
      <c r="C112" s="70">
        <v>0.21258101851851852</v>
      </c>
      <c r="D112" s="71">
        <v>0.58651553374572396</v>
      </c>
      <c r="E112" s="70">
        <v>4.8784722222222222E-2</v>
      </c>
      <c r="G112" s="69">
        <v>100</v>
      </c>
      <c r="H112" s="69">
        <v>71</v>
      </c>
      <c r="I112" s="69">
        <f t="shared" si="1"/>
        <v>29</v>
      </c>
    </row>
    <row r="113" spans="1:9" x14ac:dyDescent="0.3">
      <c r="A113" s="73" t="s">
        <v>1157</v>
      </c>
      <c r="B113" s="74">
        <v>72</v>
      </c>
      <c r="C113" s="70">
        <v>0.22203703703703703</v>
      </c>
      <c r="D113" s="71">
        <v>0.58165871362322696</v>
      </c>
      <c r="E113" s="70">
        <v>5.1342592592592592E-2</v>
      </c>
      <c r="G113" s="69">
        <v>100</v>
      </c>
      <c r="H113" s="69">
        <v>72</v>
      </c>
      <c r="I113" s="69">
        <f t="shared" si="1"/>
        <v>28</v>
      </c>
    </row>
    <row r="114" spans="1:9" x14ac:dyDescent="0.3">
      <c r="A114" s="73" t="s">
        <v>1061</v>
      </c>
      <c r="B114" s="74">
        <v>222</v>
      </c>
      <c r="C114" s="70">
        <v>0.62321759259259257</v>
      </c>
      <c r="D114" s="71">
        <v>0.57455771227955232</v>
      </c>
      <c r="E114" s="70">
        <v>0.14776620370370372</v>
      </c>
      <c r="G114" s="69">
        <v>100</v>
      </c>
      <c r="H114" s="69">
        <v>222</v>
      </c>
      <c r="I114" s="69">
        <f t="shared" si="1"/>
        <v>-122</v>
      </c>
    </row>
    <row r="115" spans="1:9" x14ac:dyDescent="0.3">
      <c r="A115" s="73" t="s">
        <v>1158</v>
      </c>
      <c r="B115" s="74">
        <v>76</v>
      </c>
      <c r="C115" s="70">
        <v>0.18991898148148148</v>
      </c>
      <c r="D115" s="71">
        <v>0.53238796723342696</v>
      </c>
      <c r="E115" s="70">
        <v>6.4317129629629627E-2</v>
      </c>
      <c r="G115" s="69">
        <v>100</v>
      </c>
      <c r="H115" s="69">
        <v>76</v>
      </c>
      <c r="I115" s="69">
        <f t="shared" si="1"/>
        <v>24</v>
      </c>
    </row>
    <row r="116" spans="1:9" x14ac:dyDescent="0.3">
      <c r="A116" s="73" t="s">
        <v>1159</v>
      </c>
      <c r="B116" s="74">
        <v>77</v>
      </c>
      <c r="C116" s="70">
        <v>0.18868055555555555</v>
      </c>
      <c r="D116" s="71">
        <v>0.47020989660776702</v>
      </c>
      <c r="E116" s="70">
        <v>7.3344907407407414E-2</v>
      </c>
      <c r="G116" s="69">
        <v>100</v>
      </c>
      <c r="H116" s="69">
        <v>77</v>
      </c>
      <c r="I116" s="69">
        <f t="shared" si="1"/>
        <v>23</v>
      </c>
    </row>
    <row r="117" spans="1:9" x14ac:dyDescent="0.3">
      <c r="A117" s="73" t="s">
        <v>1160</v>
      </c>
      <c r="B117" s="74">
        <v>78</v>
      </c>
      <c r="C117" s="70">
        <v>0.20261574074074074</v>
      </c>
      <c r="D117" s="71">
        <v>0.54633099407235797</v>
      </c>
      <c r="E117" s="70">
        <v>4.7754629629629633E-2</v>
      </c>
      <c r="G117" s="69">
        <v>100</v>
      </c>
      <c r="H117" s="69">
        <v>78</v>
      </c>
      <c r="I117" s="69">
        <f t="shared" si="1"/>
        <v>22</v>
      </c>
    </row>
    <row r="118" spans="1:9" x14ac:dyDescent="0.3">
      <c r="A118" s="73" t="s">
        <v>1161</v>
      </c>
      <c r="B118" s="74">
        <v>79</v>
      </c>
      <c r="C118" s="70">
        <v>0.14315972222222223</v>
      </c>
      <c r="D118" s="71">
        <v>0.38820416638756799</v>
      </c>
      <c r="E118" s="70">
        <v>0.15493055555555554</v>
      </c>
      <c r="G118" s="69">
        <v>100</v>
      </c>
      <c r="H118" s="69">
        <v>79</v>
      </c>
      <c r="I118" s="69">
        <f t="shared" si="1"/>
        <v>21</v>
      </c>
    </row>
    <row r="119" spans="1:9" x14ac:dyDescent="0.3">
      <c r="A119" s="73" t="s">
        <v>1162</v>
      </c>
      <c r="B119" s="74">
        <v>80</v>
      </c>
      <c r="C119" s="70">
        <v>0.1439236111111111</v>
      </c>
      <c r="D119" s="71">
        <v>0.40277584042404802</v>
      </c>
      <c r="E119" s="70">
        <v>0.13547453703703705</v>
      </c>
      <c r="G119" s="69">
        <v>100</v>
      </c>
      <c r="H119" s="69">
        <v>80</v>
      </c>
      <c r="I119" s="69">
        <f t="shared" si="1"/>
        <v>20</v>
      </c>
    </row>
    <row r="120" spans="1:9" x14ac:dyDescent="0.3">
      <c r="A120" s="73" t="s">
        <v>1163</v>
      </c>
      <c r="B120" s="74">
        <v>81</v>
      </c>
      <c r="C120" s="70">
        <v>0.22164351851851852</v>
      </c>
      <c r="D120" s="71">
        <v>0.54352584610203702</v>
      </c>
      <c r="E120" s="70">
        <v>4.8599537037037038E-2</v>
      </c>
      <c r="G120" s="69">
        <v>100</v>
      </c>
      <c r="H120" s="69">
        <v>81</v>
      </c>
      <c r="I120" s="69">
        <f t="shared" si="1"/>
        <v>19</v>
      </c>
    </row>
    <row r="121" spans="1:9" x14ac:dyDescent="0.3">
      <c r="A121" s="73" t="s">
        <v>1164</v>
      </c>
      <c r="B121" s="74">
        <v>82</v>
      </c>
      <c r="C121" s="70">
        <v>0.15355324074074075</v>
      </c>
      <c r="D121" s="71">
        <v>0.28371986821932998</v>
      </c>
      <c r="E121" s="70">
        <v>3.8645833333333331E-2</v>
      </c>
      <c r="G121" s="69">
        <v>100</v>
      </c>
      <c r="H121" s="69">
        <v>82</v>
      </c>
      <c r="I121" s="69">
        <f t="shared" si="1"/>
        <v>18</v>
      </c>
    </row>
    <row r="122" spans="1:9" x14ac:dyDescent="0.3">
      <c r="A122" s="73" t="s">
        <v>1165</v>
      </c>
      <c r="B122" s="74">
        <v>83</v>
      </c>
      <c r="C122" s="70">
        <v>0.21557870370370372</v>
      </c>
      <c r="D122" s="71">
        <v>0.56196890539434796</v>
      </c>
      <c r="E122" s="70">
        <v>7.048611111111111E-2</v>
      </c>
      <c r="G122" s="69">
        <v>100</v>
      </c>
      <c r="H122" s="69">
        <v>83</v>
      </c>
      <c r="I122" s="69">
        <f t="shared" si="1"/>
        <v>17</v>
      </c>
    </row>
    <row r="123" spans="1:9" x14ac:dyDescent="0.3">
      <c r="A123" s="73" t="s">
        <v>1166</v>
      </c>
      <c r="B123" s="74">
        <v>84</v>
      </c>
      <c r="C123" s="70">
        <v>0.15380787037037036</v>
      </c>
      <c r="D123" s="71">
        <v>0.40332201825791802</v>
      </c>
      <c r="E123" s="70">
        <v>0.14153935185185185</v>
      </c>
      <c r="G123" s="69">
        <v>100</v>
      </c>
      <c r="H123" s="69">
        <v>84</v>
      </c>
      <c r="I123" s="69">
        <f t="shared" si="1"/>
        <v>16</v>
      </c>
    </row>
    <row r="124" spans="1:9" x14ac:dyDescent="0.3">
      <c r="A124" s="73" t="s">
        <v>1167</v>
      </c>
      <c r="B124" s="74">
        <v>85</v>
      </c>
      <c r="C124" s="70">
        <v>0.17545138888888889</v>
      </c>
      <c r="D124" s="71">
        <v>0.43796610169491501</v>
      </c>
      <c r="E124" s="70">
        <v>9.5694444444444443E-2</v>
      </c>
      <c r="G124" s="69">
        <v>100</v>
      </c>
      <c r="H124" s="69">
        <v>85</v>
      </c>
      <c r="I124" s="69">
        <f t="shared" si="1"/>
        <v>15</v>
      </c>
    </row>
    <row r="125" spans="1:9" x14ac:dyDescent="0.3">
      <c r="A125" s="73" t="s">
        <v>1168</v>
      </c>
      <c r="B125" s="74">
        <v>86</v>
      </c>
      <c r="C125" s="70">
        <v>0.20476851851851852</v>
      </c>
      <c r="D125" s="71">
        <v>0.55581995508931903</v>
      </c>
      <c r="E125" s="70">
        <v>5.5231481481481479E-2</v>
      </c>
      <c r="G125" s="69">
        <v>100</v>
      </c>
      <c r="H125" s="69">
        <v>86</v>
      </c>
      <c r="I125" s="69">
        <f t="shared" si="1"/>
        <v>14</v>
      </c>
    </row>
    <row r="126" spans="1:9" x14ac:dyDescent="0.3">
      <c r="A126" s="73" t="s">
        <v>1169</v>
      </c>
      <c r="B126" s="74">
        <v>87</v>
      </c>
      <c r="C126" s="70">
        <v>0.12054398148148149</v>
      </c>
      <c r="D126" s="71">
        <v>0.326035781544256</v>
      </c>
      <c r="E126" s="70">
        <v>0.19140046296296295</v>
      </c>
      <c r="G126" s="69">
        <v>100</v>
      </c>
      <c r="H126" s="69">
        <v>87</v>
      </c>
      <c r="I126" s="69">
        <f t="shared" si="1"/>
        <v>13</v>
      </c>
    </row>
    <row r="127" spans="1:9" x14ac:dyDescent="0.3">
      <c r="A127" s="73" t="s">
        <v>1170</v>
      </c>
      <c r="B127" s="74">
        <v>88</v>
      </c>
      <c r="C127" s="70">
        <v>0.21278935185185185</v>
      </c>
      <c r="D127" s="71">
        <v>0.57404190086867701</v>
      </c>
      <c r="E127" s="70">
        <v>4.8506944444444443E-2</v>
      </c>
      <c r="G127" s="69">
        <v>100</v>
      </c>
      <c r="H127" s="69">
        <v>88</v>
      </c>
      <c r="I127" s="69">
        <f t="shared" si="1"/>
        <v>12</v>
      </c>
    </row>
    <row r="128" spans="1:9" x14ac:dyDescent="0.3">
      <c r="A128" s="73" t="s">
        <v>1171</v>
      </c>
      <c r="B128" s="74">
        <v>89</v>
      </c>
      <c r="C128" s="70">
        <v>0.1744212962962963</v>
      </c>
      <c r="D128" s="71">
        <v>0.45359037481363301</v>
      </c>
      <c r="E128" s="70">
        <v>8.1423611111111113E-2</v>
      </c>
      <c r="G128" s="69">
        <v>100</v>
      </c>
      <c r="H128" s="69">
        <v>89</v>
      </c>
      <c r="I128" s="69">
        <f t="shared" si="1"/>
        <v>11</v>
      </c>
    </row>
    <row r="129" spans="1:9" x14ac:dyDescent="0.3">
      <c r="A129" s="73" t="s">
        <v>1172</v>
      </c>
      <c r="B129" s="74">
        <v>90</v>
      </c>
      <c r="C129" s="70">
        <v>0.11028935185185185</v>
      </c>
      <c r="D129" s="71">
        <v>0.29689998979140397</v>
      </c>
      <c r="E129" s="70">
        <v>0.19189814814814815</v>
      </c>
      <c r="G129" s="69">
        <v>100</v>
      </c>
      <c r="H129" s="69">
        <v>90</v>
      </c>
      <c r="I129" s="69">
        <f t="shared" si="1"/>
        <v>10</v>
      </c>
    </row>
    <row r="130" spans="1:9" x14ac:dyDescent="0.3">
      <c r="A130" s="73" t="s">
        <v>1173</v>
      </c>
      <c r="B130" s="74">
        <v>91</v>
      </c>
      <c r="C130" s="70">
        <v>0.19138888888888889</v>
      </c>
      <c r="D130" s="71">
        <v>0.55729058227496697</v>
      </c>
      <c r="E130" s="70">
        <v>5.1666666666666666E-2</v>
      </c>
      <c r="G130" s="69">
        <v>100</v>
      </c>
      <c r="H130" s="69">
        <v>91</v>
      </c>
      <c r="I130" s="69">
        <f t="shared" si="1"/>
        <v>9</v>
      </c>
    </row>
    <row r="131" spans="1:9" x14ac:dyDescent="0.3">
      <c r="A131" s="73" t="s">
        <v>1062</v>
      </c>
      <c r="B131" s="74">
        <v>185</v>
      </c>
      <c r="C131" s="70">
        <v>0.29421296296296295</v>
      </c>
      <c r="D131" s="71">
        <v>0.40255066518105698</v>
      </c>
      <c r="E131" s="70">
        <v>0.25958333333333333</v>
      </c>
      <c r="G131" s="69">
        <v>100</v>
      </c>
      <c r="H131" s="69">
        <v>185</v>
      </c>
      <c r="I131" s="69">
        <f t="shared" si="1"/>
        <v>-85</v>
      </c>
    </row>
    <row r="132" spans="1:9" x14ac:dyDescent="0.3">
      <c r="A132" s="73" t="s">
        <v>1174</v>
      </c>
      <c r="B132" s="74">
        <v>94</v>
      </c>
      <c r="C132" s="70">
        <v>0.18885416666666666</v>
      </c>
      <c r="D132" s="71">
        <v>0.51110729613733896</v>
      </c>
      <c r="E132" s="70">
        <v>8.7997685185185179E-2</v>
      </c>
      <c r="G132" s="69">
        <v>100</v>
      </c>
      <c r="H132" s="69">
        <v>94</v>
      </c>
      <c r="I132" s="69">
        <f t="shared" si="1"/>
        <v>6</v>
      </c>
    </row>
    <row r="133" spans="1:9" x14ac:dyDescent="0.3">
      <c r="A133" s="73" t="s">
        <v>1175</v>
      </c>
      <c r="B133" s="74">
        <v>95</v>
      </c>
      <c r="C133" s="70">
        <v>0.22166666666666668</v>
      </c>
      <c r="D133" s="71">
        <v>0.58886040078267299</v>
      </c>
      <c r="E133" s="70">
        <v>4.7395833333333331E-2</v>
      </c>
      <c r="G133" s="69">
        <v>100</v>
      </c>
      <c r="H133" s="69">
        <v>95</v>
      </c>
      <c r="I133" s="69">
        <f t="shared" si="1"/>
        <v>5</v>
      </c>
    </row>
    <row r="134" spans="1:9" x14ac:dyDescent="0.3">
      <c r="A134" s="73" t="s">
        <v>1176</v>
      </c>
      <c r="B134" s="74">
        <v>96</v>
      </c>
      <c r="C134" s="70">
        <v>0.12112268518518518</v>
      </c>
      <c r="D134" s="71">
        <v>0.34289424860853401</v>
      </c>
      <c r="E134" s="70">
        <v>0.1575462962962963</v>
      </c>
      <c r="G134" s="69">
        <v>100</v>
      </c>
      <c r="H134" s="69">
        <v>96</v>
      </c>
      <c r="I134" s="69">
        <f t="shared" ref="I134:I145" si="2">G134-H134</f>
        <v>4</v>
      </c>
    </row>
    <row r="135" spans="1:9" x14ac:dyDescent="0.3">
      <c r="A135" s="73" t="s">
        <v>1177</v>
      </c>
      <c r="B135" s="74">
        <v>97</v>
      </c>
      <c r="C135" s="70">
        <v>0.19224537037037037</v>
      </c>
      <c r="D135" s="71">
        <v>0.497486459313074</v>
      </c>
      <c r="E135" s="70">
        <v>9.5196759259259259E-2</v>
      </c>
      <c r="G135" s="69">
        <v>100</v>
      </c>
      <c r="H135" s="69">
        <v>97</v>
      </c>
      <c r="I135" s="69">
        <f t="shared" si="2"/>
        <v>3</v>
      </c>
    </row>
    <row r="136" spans="1:9" x14ac:dyDescent="0.3">
      <c r="A136" s="73" t="s">
        <v>1178</v>
      </c>
      <c r="B136" s="74">
        <v>98</v>
      </c>
      <c r="C136" s="70">
        <v>0.20146990740740742</v>
      </c>
      <c r="D136" s="71">
        <v>0.52431431936732298</v>
      </c>
      <c r="E136" s="70">
        <v>4.8854166666666664E-2</v>
      </c>
      <c r="G136" s="69">
        <v>100</v>
      </c>
      <c r="H136" s="69">
        <v>98</v>
      </c>
      <c r="I136" s="69">
        <f t="shared" si="2"/>
        <v>2</v>
      </c>
    </row>
    <row r="137" spans="1:9" x14ac:dyDescent="0.3">
      <c r="A137" s="73" t="s">
        <v>1179</v>
      </c>
      <c r="B137" s="74">
        <v>99</v>
      </c>
      <c r="C137" s="70">
        <v>0.12475694444444445</v>
      </c>
      <c r="D137" s="71">
        <v>0.31066956086157999</v>
      </c>
      <c r="E137" s="70">
        <v>0.18931712962962963</v>
      </c>
      <c r="G137" s="69">
        <v>100</v>
      </c>
      <c r="H137" s="69">
        <v>99</v>
      </c>
      <c r="I137" s="69">
        <f t="shared" si="2"/>
        <v>1</v>
      </c>
    </row>
    <row r="138" spans="1:9" x14ac:dyDescent="0.3">
      <c r="A138" s="73" t="s">
        <v>1180</v>
      </c>
      <c r="B138" s="74">
        <v>100</v>
      </c>
      <c r="C138" s="70">
        <v>0.22505787037037037</v>
      </c>
      <c r="D138" s="71">
        <v>0.58462473412336702</v>
      </c>
      <c r="E138" s="70">
        <v>5.1898148148148152E-2</v>
      </c>
      <c r="G138" s="69">
        <v>100</v>
      </c>
      <c r="H138" s="69">
        <v>100</v>
      </c>
      <c r="I138" s="69">
        <f t="shared" si="2"/>
        <v>0</v>
      </c>
    </row>
    <row r="139" spans="1:9" x14ac:dyDescent="0.3">
      <c r="A139" s="73" t="s">
        <v>1181</v>
      </c>
      <c r="B139" s="74">
        <v>101</v>
      </c>
      <c r="C139" s="70">
        <v>0.11953703703703704</v>
      </c>
      <c r="D139" s="71">
        <v>0.31685816164817698</v>
      </c>
      <c r="E139" s="70">
        <v>0.21081018518518518</v>
      </c>
      <c r="G139" s="69">
        <v>100</v>
      </c>
      <c r="H139" s="69">
        <v>101</v>
      </c>
      <c r="I139" s="69">
        <f t="shared" si="2"/>
        <v>-1</v>
      </c>
    </row>
    <row r="140" spans="1:9" x14ac:dyDescent="0.3">
      <c r="A140" s="73" t="s">
        <v>1182</v>
      </c>
      <c r="B140" s="74">
        <v>102</v>
      </c>
      <c r="C140" s="70">
        <v>0.20268518518518519</v>
      </c>
      <c r="D140" s="71">
        <v>0.56375322197301903</v>
      </c>
      <c r="E140" s="70">
        <v>5.0046296296296297E-2</v>
      </c>
      <c r="G140" s="69">
        <v>100</v>
      </c>
      <c r="H140" s="69">
        <v>102</v>
      </c>
      <c r="I140" s="69">
        <f t="shared" si="2"/>
        <v>-2</v>
      </c>
    </row>
    <row r="141" spans="1:9" x14ac:dyDescent="0.3">
      <c r="A141" s="73" t="s">
        <v>1183</v>
      </c>
      <c r="B141" s="74">
        <v>103</v>
      </c>
      <c r="C141" s="70">
        <v>0.21916666666666668</v>
      </c>
      <c r="D141" s="71">
        <v>0.54779147908918902</v>
      </c>
      <c r="E141" s="70">
        <v>3.8946759259259257E-2</v>
      </c>
      <c r="G141" s="69">
        <v>100</v>
      </c>
      <c r="H141" s="69">
        <v>103</v>
      </c>
      <c r="I141" s="69">
        <f t="shared" si="2"/>
        <v>-3</v>
      </c>
    </row>
    <row r="142" spans="1:9" x14ac:dyDescent="0.3">
      <c r="A142" s="73" t="s">
        <v>1184</v>
      </c>
      <c r="B142" s="74">
        <v>104</v>
      </c>
      <c r="C142" s="70">
        <v>0.15059027777777778</v>
      </c>
      <c r="D142" s="71">
        <v>0.37965983593576802</v>
      </c>
      <c r="E142" s="70">
        <v>0.16840277777777779</v>
      </c>
      <c r="G142" s="69">
        <v>100</v>
      </c>
      <c r="H142" s="69">
        <v>104</v>
      </c>
      <c r="I142" s="69">
        <f t="shared" si="2"/>
        <v>-4</v>
      </c>
    </row>
    <row r="143" spans="1:9" x14ac:dyDescent="0.3">
      <c r="A143" s="73" t="s">
        <v>1185</v>
      </c>
      <c r="B143" s="74">
        <v>105</v>
      </c>
      <c r="C143" s="70">
        <v>0.21891203703703704</v>
      </c>
      <c r="D143" s="71">
        <v>0.56529498922413801</v>
      </c>
      <c r="E143" s="70">
        <v>5.0127314814814812E-2</v>
      </c>
      <c r="G143" s="69">
        <v>100</v>
      </c>
      <c r="H143" s="69">
        <v>105</v>
      </c>
      <c r="I143" s="69">
        <f t="shared" si="2"/>
        <v>-5</v>
      </c>
    </row>
    <row r="144" spans="1:9" x14ac:dyDescent="0.3">
      <c r="A144" s="73" t="s">
        <v>1063</v>
      </c>
      <c r="B144" s="74">
        <v>106</v>
      </c>
      <c r="C144" s="70">
        <v>0.1310300925925926</v>
      </c>
      <c r="D144" s="71">
        <v>0.60261183662128404</v>
      </c>
      <c r="E144" s="70">
        <v>1.0451388888888889E-2</v>
      </c>
      <c r="G144" s="69">
        <v>100</v>
      </c>
      <c r="H144" s="69">
        <v>106</v>
      </c>
      <c r="I144" s="69">
        <f t="shared" si="2"/>
        <v>-6</v>
      </c>
    </row>
    <row r="145" spans="1:9" x14ac:dyDescent="0.3">
      <c r="A145" s="73" t="s">
        <v>1064</v>
      </c>
      <c r="B145" s="74">
        <v>107</v>
      </c>
      <c r="C145" s="70">
        <v>0.19362268518518519</v>
      </c>
      <c r="D145" s="71">
        <v>0.49813523593319298</v>
      </c>
      <c r="E145" s="70">
        <v>9.5034722222222229E-2</v>
      </c>
      <c r="G145" s="69">
        <v>100</v>
      </c>
      <c r="H145" s="69">
        <v>107</v>
      </c>
      <c r="I145" s="69">
        <f t="shared" si="2"/>
        <v>-7</v>
      </c>
    </row>
    <row r="146" spans="1:9" x14ac:dyDescent="0.3">
      <c r="D146" s="69"/>
    </row>
    <row r="147" spans="1:9" x14ac:dyDescent="0.3">
      <c r="D147" s="6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Breaktime</vt:lpstr>
      <vt:lpstr>Workefficiency</vt:lpstr>
      <vt:lpstr>Overallperformance </vt:lpstr>
      <vt:lpstr>Summary</vt:lpstr>
      <vt:lpstr>DASHBOARD</vt:lpstr>
      <vt:lpstr>Sheet1</vt:lpstr>
      <vt:lpstr>Bdata</vt:lpstr>
      <vt:lpstr>Edata</vt:lpstr>
      <vt:lpstr>Odata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Mansi Kushwaha</dc:creator>
  <cp:lastModifiedBy>Mansi Kushwaha</cp:lastModifiedBy>
  <dcterms:created xsi:type="dcterms:W3CDTF">2026-07-18T13:29:22Z</dcterms:created>
  <dcterms:modified xsi:type="dcterms:W3CDTF">2026-07-26T11:23:29Z</dcterms:modified>
</cp:coreProperties>
</file>